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9035" yWindow="0" windowWidth="18915" windowHeight="11475" activeTab="1"/>
  </bookViews>
  <sheets>
    <sheet name="New Customer Risk Analysis" sheetId="3" r:id="rId1"/>
    <sheet name="New Customer Pricing" sheetId="1" r:id="rId2"/>
    <sheet name="Tank Cash Flows" sheetId="2" r:id="rId3"/>
  </sheets>
  <definedNames>
    <definedName name="AT_MARR">'New Customer Pricing'!$F$15</definedName>
    <definedName name="Average_Weekly_Demand">'New Customer Pricing'!$F$5</definedName>
    <definedName name="Contract_Length">'New Customer Pricing'!$F$8</definedName>
    <definedName name="Distance">'New Customer Pricing'!$F$7</definedName>
    <definedName name="Factor_1_Column">'New Customer Risk Analysis'!$C$37:$C$1036</definedName>
    <definedName name="Factor_1_Mean">'New Customer Risk Analysis'!$D$9</definedName>
    <definedName name="Factor_1_Std_Dev">'New Customer Risk Analysis'!$G$9</definedName>
    <definedName name="Factor_2_Column">'New Customer Risk Analysis'!$D$37:$D$1036</definedName>
    <definedName name="Factor_2_Mean">'New Customer Risk Analysis'!$D$13</definedName>
    <definedName name="Factor_2_Std_Dev">'New Customer Risk Analysis'!$G$13</definedName>
    <definedName name="Growth_Rate">'New Customer Pricing'!$F$6</definedName>
    <definedName name="LA_1_Loss_Prob">'New Customer Risk Analysis'!$L$43</definedName>
    <definedName name="LA_1_PPKG_for_Sim">'New Customer Risk Analysis'!$E$22</definedName>
    <definedName name="Marginal_Tax_Rate">'New Customer Pricing'!$F$14</definedName>
    <definedName name="NPW">'New Customer Pricing'!$F$41</definedName>
    <definedName name="NPW_Column">'New Customer Risk Analysis'!$E$37:$E$1036</definedName>
    <definedName name="Price_Per_KGallons">'New Customer Pricing'!$F$20</definedName>
    <definedName name="Random_Factor_1">'New Customer Risk Analysis'!$C$34</definedName>
    <definedName name="Random_Factor_2">'New Customer Risk Analysis'!$D$34</definedName>
    <definedName name="Simulation_Output_Table">'New Customer Risk Analysis'!$C$37:$E$1036</definedName>
    <definedName name="solver_adj" localSheetId="1" hidden="1">'New Customer Pricing'!$F$20</definedName>
    <definedName name="solver_cvg" localSheetId="1" hidden="1">0.0001</definedName>
    <definedName name="solver_drv" localSheetId="1" hidden="1">1</definedName>
    <definedName name="solver_est" localSheetId="1" hidden="1">1</definedName>
    <definedName name="solver_itr" localSheetId="1" hidden="1">100</definedName>
    <definedName name="solver_lin" localSheetId="1" hidden="1">2</definedName>
    <definedName name="solver_neg" localSheetId="1" hidden="1">2</definedName>
    <definedName name="solver_num" localSheetId="1" hidden="1">0</definedName>
    <definedName name="solver_nwt" localSheetId="1" hidden="1">1</definedName>
    <definedName name="solver_opt" localSheetId="1" hidden="1">'New Customer Pricing'!#REF!</definedName>
    <definedName name="solver_pre" localSheetId="1" hidden="1">0.000001</definedName>
    <definedName name="solver_scl" localSheetId="1" hidden="1">2</definedName>
    <definedName name="solver_sho" localSheetId="1" hidden="1">2</definedName>
    <definedName name="solver_tim" localSheetId="1" hidden="1">100</definedName>
    <definedName name="solver_tol" localSheetId="1" hidden="1">0.05</definedName>
    <definedName name="solver_typ" localSheetId="1" hidden="1">3</definedName>
    <definedName name="solver_val" localSheetId="1" hidden="1">0</definedName>
    <definedName name="Target_Loss_Prob">'New Customer Risk Analysis'!$I$29</definedName>
    <definedName name="Target_PPKG">'New Customer Risk Analysis'!$I$27</definedName>
    <definedName name="Tolerance">'New Customer Risk Analysis'!$L$29</definedName>
    <definedName name="Weeks_Per_Year">'New Customer Pricing'!$F$16</definedName>
  </definedNames>
  <calcPr calcId="145621"/>
</workbook>
</file>

<file path=xl/calcChain.xml><?xml version="1.0" encoding="utf-8"?>
<calcChain xmlns="http://schemas.openxmlformats.org/spreadsheetml/2006/main">
  <c r="D17" i="3" l="1"/>
  <c r="E41" i="1" l="1"/>
  <c r="E36" i="3" l="1"/>
  <c r="H43" i="3"/>
  <c r="H42" i="3" s="1"/>
  <c r="I43" i="3" s="1"/>
  <c r="L29" i="3"/>
  <c r="I29" i="3"/>
  <c r="G13" i="3"/>
  <c r="G9" i="3"/>
  <c r="D9" i="3"/>
  <c r="H41" i="3" l="1"/>
  <c r="H44" i="3"/>
  <c r="I42" i="3" l="1"/>
  <c r="H40" i="3"/>
  <c r="H45" i="3"/>
  <c r="I44" i="3"/>
  <c r="C11" i="2"/>
  <c r="D11" i="2"/>
  <c r="E11" i="2"/>
  <c r="C7" i="2"/>
  <c r="D7" i="2"/>
  <c r="E7" i="2"/>
  <c r="C8" i="2"/>
  <c r="D8" i="2"/>
  <c r="E8" i="2"/>
  <c r="C9" i="2"/>
  <c r="D9" i="2"/>
  <c r="E9" i="2"/>
  <c r="D6" i="2"/>
  <c r="E6" i="2"/>
  <c r="C6" i="2"/>
  <c r="C46" i="2" s="1"/>
  <c r="D5" i="2"/>
  <c r="E5" i="2"/>
  <c r="C5" i="2"/>
  <c r="C14" i="2"/>
  <c r="C13" i="2"/>
  <c r="B11" i="2"/>
  <c r="B9" i="2"/>
  <c r="B8" i="2"/>
  <c r="B7" i="2"/>
  <c r="B6" i="2"/>
  <c r="B5" i="2"/>
  <c r="E4" i="2"/>
  <c r="D4" i="2"/>
  <c r="C4" i="2"/>
  <c r="C3" i="2"/>
  <c r="F25" i="1"/>
  <c r="F24" i="1" s="1"/>
  <c r="F6" i="1"/>
  <c r="D13" i="3" s="1"/>
  <c r="D14" i="2"/>
  <c r="D13" i="2"/>
  <c r="I41" i="3" l="1"/>
  <c r="H39" i="3"/>
  <c r="H46" i="3"/>
  <c r="I45" i="3"/>
  <c r="C53" i="2"/>
  <c r="R47" i="2"/>
  <c r="M47" i="2"/>
  <c r="H47" i="2"/>
  <c r="G25" i="1"/>
  <c r="H25" i="1" s="1"/>
  <c r="I25" i="1" s="1"/>
  <c r="I40" i="3" l="1"/>
  <c r="H38" i="3"/>
  <c r="H24" i="1"/>
  <c r="J25" i="1"/>
  <c r="J24" i="1" s="1"/>
  <c r="I24" i="1"/>
  <c r="G24" i="1"/>
  <c r="H47" i="3"/>
  <c r="I46" i="3"/>
  <c r="I53" i="2" l="1"/>
  <c r="H53" i="2"/>
  <c r="G53" i="2"/>
  <c r="F53" i="2"/>
  <c r="E53" i="2"/>
  <c r="D53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H37" i="3"/>
  <c r="I39" i="3"/>
  <c r="H48" i="3"/>
  <c r="I47" i="3"/>
  <c r="I37" i="3" l="1"/>
  <c r="I38" i="3"/>
  <c r="H49" i="3"/>
  <c r="I48" i="3"/>
  <c r="H50" i="3" l="1"/>
  <c r="I49" i="3"/>
  <c r="H51" i="3" l="1"/>
  <c r="I50" i="3"/>
  <c r="I52" i="3" l="1"/>
  <c r="I51" i="3"/>
  <c r="J53" i="3" l="1"/>
  <c r="K52" i="3" l="1"/>
  <c r="K50" i="3"/>
  <c r="K48" i="3"/>
  <c r="K46" i="3"/>
  <c r="K44" i="3"/>
  <c r="K42" i="3"/>
  <c r="K40" i="3"/>
  <c r="K38" i="3"/>
  <c r="K41" i="3"/>
  <c r="K37" i="3"/>
  <c r="K51" i="3"/>
  <c r="K49" i="3"/>
  <c r="K47" i="3"/>
  <c r="K45" i="3"/>
  <c r="K43" i="3"/>
  <c r="K39" i="3"/>
  <c r="K53" i="3" s="1"/>
  <c r="L45" i="3"/>
  <c r="L39" i="3"/>
  <c r="L38" i="3"/>
  <c r="L37" i="3"/>
  <c r="L41" i="3" l="1"/>
  <c r="L49" i="3"/>
  <c r="L52" i="3"/>
  <c r="L40" i="3"/>
  <c r="L43" i="3"/>
  <c r="L47" i="3"/>
  <c r="L51" i="3"/>
  <c r="L42" i="3"/>
  <c r="L44" i="3"/>
  <c r="L46" i="3"/>
  <c r="L48" i="3"/>
  <c r="L50" i="3"/>
</calcChain>
</file>

<file path=xl/comments1.xml><?xml version="1.0" encoding="utf-8"?>
<comments xmlns="http://schemas.openxmlformats.org/spreadsheetml/2006/main">
  <authors>
    <author>kec4</author>
  </authors>
  <commentList>
    <comment ref="H9" authorId="0">
      <text>
        <r>
          <rPr>
            <b/>
            <sz val="8"/>
            <color indexed="81"/>
            <rFont val="Tahoma"/>
            <family val="2"/>
          </rPr>
          <t>kec4:</t>
        </r>
        <r>
          <rPr>
            <sz val="8"/>
            <color indexed="81"/>
            <rFont val="Tahoma"/>
            <family val="2"/>
          </rPr>
          <t xml:space="preserve">
Contains control for spinner -- do not alter.</t>
        </r>
      </text>
    </comment>
    <comment ref="H13" authorId="0">
      <text>
        <r>
          <rPr>
            <b/>
            <sz val="8"/>
            <color indexed="81"/>
            <rFont val="Tahoma"/>
            <family val="2"/>
          </rPr>
          <t>kec4:</t>
        </r>
        <r>
          <rPr>
            <sz val="8"/>
            <color indexed="81"/>
            <rFont val="Tahoma"/>
            <family val="2"/>
          </rPr>
          <t xml:space="preserve">
Contains control for spinner -- do not alter.</t>
        </r>
      </text>
    </comment>
    <comment ref="J29" authorId="0">
      <text>
        <r>
          <rPr>
            <b/>
            <sz val="8"/>
            <color indexed="81"/>
            <rFont val="Tahoma"/>
            <family val="2"/>
          </rPr>
          <t>kec4:</t>
        </r>
        <r>
          <rPr>
            <sz val="8"/>
            <color indexed="81"/>
            <rFont val="Tahoma"/>
            <family val="2"/>
          </rPr>
          <t xml:space="preserve">
Contains control for spinner -- do not alter.</t>
        </r>
      </text>
    </comment>
    <comment ref="M29" authorId="0">
      <text>
        <r>
          <rPr>
            <b/>
            <sz val="8"/>
            <color indexed="81"/>
            <rFont val="Tahoma"/>
            <family val="2"/>
          </rPr>
          <t>kec4:</t>
        </r>
        <r>
          <rPr>
            <sz val="8"/>
            <color indexed="81"/>
            <rFont val="Tahoma"/>
            <family val="2"/>
          </rPr>
          <t xml:space="preserve">
Contains control for spinner -- do not alter.</t>
        </r>
      </text>
    </comment>
  </commentList>
</comments>
</file>

<file path=xl/comments2.xml><?xml version="1.0" encoding="utf-8"?>
<comments xmlns="http://schemas.openxmlformats.org/spreadsheetml/2006/main">
  <authors>
    <author>Chris Chen</author>
  </authors>
  <commentList>
    <comment ref="G6" authorId="0">
      <text>
        <r>
          <rPr>
            <b/>
            <sz val="9"/>
            <color rgb="FF000000"/>
            <rFont val="Tahoma"/>
            <family val="2"/>
          </rPr>
          <t xml:space="preserve">kec4:
</t>
        </r>
        <r>
          <rPr>
            <sz val="9"/>
            <color rgb="FF000000"/>
            <rFont val="Tahoma"/>
            <family val="2"/>
          </rPr>
          <t>Contains driver for spinner.</t>
        </r>
      </text>
    </comment>
  </commentList>
</comments>
</file>

<file path=xl/sharedStrings.xml><?xml version="1.0" encoding="utf-8"?>
<sst xmlns="http://schemas.openxmlformats.org/spreadsheetml/2006/main" count="132" uniqueCount="112">
  <si>
    <t>Liquair-Pro Pricing Tool</t>
  </si>
  <si>
    <t>Production Cost per Gallon:</t>
  </si>
  <si>
    <t>Marginal Income Tax Rate:</t>
  </si>
  <si>
    <t>After-Tax Minimum Attractive Rate of Return:</t>
  </si>
  <si>
    <t>Customer Consumption Weeks per Year:</t>
  </si>
  <si>
    <t>Maximum Deliveries per Year:</t>
  </si>
  <si>
    <t>LA-1</t>
  </si>
  <si>
    <t>LA-3</t>
  </si>
  <si>
    <t>LA-6</t>
  </si>
  <si>
    <t>Capacity (Gallons):</t>
  </si>
  <si>
    <t>Acquisition Cost:</t>
  </si>
  <si>
    <t>Tank Attributes</t>
  </si>
  <si>
    <t>Enter New Customer Information Here:</t>
  </si>
  <si>
    <t>Other Parameters:</t>
  </si>
  <si>
    <t>Truck Capacity (Gallons) and Full Truckload Cost per Mile for LA-1 and LA-3:</t>
  </si>
  <si>
    <t>Truck Capacity (Gallons) and Full Truckload Cost per Mile for LA-6:</t>
  </si>
  <si>
    <t>Average Weekly Demand (Gallons/Week):</t>
  </si>
  <si>
    <t>Annual Growth Rate in Demand (%):</t>
  </si>
  <si>
    <t>Distance From Production Facility (Miles):</t>
  </si>
  <si>
    <t>5-year Refurbishment:</t>
  </si>
  <si>
    <t>10-year Refurbishment:</t>
  </si>
  <si>
    <t>15-year Refurbishment:</t>
  </si>
  <si>
    <t>Cooling Cost (per Gallon-Year):</t>
  </si>
  <si>
    <t>Tank Life (Years):</t>
  </si>
  <si>
    <t>Year 1</t>
  </si>
  <si>
    <t>Year 2</t>
  </si>
  <si>
    <t>Year 3</t>
  </si>
  <si>
    <t>Year 4</t>
  </si>
  <si>
    <t>Year 5</t>
  </si>
  <si>
    <t>Annual Demand (Gallons):</t>
  </si>
  <si>
    <t>Average Weekly Demand (Gallons):</t>
  </si>
  <si>
    <t>Annual Transportation Cost:</t>
  </si>
  <si>
    <t>Annual Inventory Financing Cost:</t>
  </si>
  <si>
    <t>Delivery Quantity (Gallons):</t>
  </si>
  <si>
    <t>Deliveries per Year:</t>
  </si>
  <si>
    <t>Annual Inventory Cooling Cost:</t>
  </si>
  <si>
    <t>Transportation Cost per Delivery:</t>
  </si>
  <si>
    <t>Annual Production Cost:</t>
  </si>
  <si>
    <t>Average Tank Inventory Level (Gallons):</t>
  </si>
  <si>
    <t>Total Annual Revenues:</t>
  </si>
  <si>
    <t>Customer Analysis Area</t>
  </si>
  <si>
    <t>Annual Tank Cost:</t>
  </si>
  <si>
    <t>Liquair-Pro Tank Cash Flow Analysis</t>
  </si>
  <si>
    <t>5-Year MACRS Depreciation Schedule (w/ half-year convention)</t>
  </si>
  <si>
    <t>Year 6</t>
  </si>
  <si>
    <t>LA-1: Income and Cash Flow Statements</t>
  </si>
  <si>
    <t>Year:</t>
  </si>
  <si>
    <t>Income Statement (Tank Only)</t>
  </si>
  <si>
    <t>Revenues</t>
  </si>
  <si>
    <t>Expenses</t>
  </si>
  <si>
    <t xml:space="preserve">    Production</t>
  </si>
  <si>
    <t xml:space="preserve">    Transportation</t>
  </si>
  <si>
    <t xml:space="preserve">    Inventory Cooling</t>
  </si>
  <si>
    <t xml:space="preserve">    Depreciation (Initial Purchase)</t>
  </si>
  <si>
    <t xml:space="preserve">    Depreciation (First Refurbishment)</t>
  </si>
  <si>
    <t xml:space="preserve">    Depreciation (Second Refurbishment)</t>
  </si>
  <si>
    <t xml:space="preserve">    Depreciation (Third Refurbishment)</t>
  </si>
  <si>
    <t>Taxable Income</t>
  </si>
  <si>
    <t>Income Taxes</t>
  </si>
  <si>
    <t>Net Income (Loss)</t>
  </si>
  <si>
    <t>Cash Flow Statement (Tank Only)</t>
  </si>
  <si>
    <t>Operating Activities</t>
  </si>
  <si>
    <t xml:space="preserve">    Net Income</t>
  </si>
  <si>
    <t>Investment Activities</t>
  </si>
  <si>
    <t xml:space="preserve">    Tank Purchase</t>
  </si>
  <si>
    <t xml:space="preserve">    Refurbishments</t>
  </si>
  <si>
    <t xml:space="preserve">    Tank Inventory Investment</t>
  </si>
  <si>
    <t>Financing Activities</t>
  </si>
  <si>
    <t xml:space="preserve">    N/A</t>
  </si>
  <si>
    <t>Net Cash Flow (Tank Only)</t>
  </si>
  <si>
    <t>Tank Only NPW(A-T MARR) =</t>
  </si>
  <si>
    <t>Tank Only AEW(A-T MARR) =</t>
  </si>
  <si>
    <t>Risk Analysis of Demand Volume and Growth Rate</t>
  </si>
  <si>
    <t>SELECT PARAMETERS FOR RISK SIMULATION</t>
  </si>
  <si>
    <t>**Factor 1 and Factor 2 are assumed to have mutually independent Normal distributions</t>
  </si>
  <si>
    <t>Factor 1** = Projected Year 1 Demand</t>
  </si>
  <si>
    <t>Mean:</t>
  </si>
  <si>
    <t>from Price Quote sheet</t>
  </si>
  <si>
    <t>Standard Deviation:</t>
  </si>
  <si>
    <t>gallons per year</t>
  </si>
  <si>
    <t>Factor 2** = Projected Annual Growth Rate</t>
  </si>
  <si>
    <t>per year</t>
  </si>
  <si>
    <t>Bin Size for Chart:</t>
  </si>
  <si>
    <t>Probability of Loss:</t>
  </si>
  <si>
    <t>TARGET LOSS PROBABILITY</t>
  </si>
  <si>
    <t>TOLERANCE REQUIRED</t>
  </si>
  <si>
    <t>Randomly Generated Values</t>
  </si>
  <si>
    <t>Factor 1</t>
  </si>
  <si>
    <t>Factor 2</t>
  </si>
  <si>
    <t>Base Row:</t>
  </si>
  <si>
    <t>Trial</t>
  </si>
  <si>
    <t>Bin Upper Limit</t>
  </si>
  <si>
    <t>As %</t>
  </si>
  <si>
    <t>&lt;== Loss Probability</t>
  </si>
  <si>
    <t>Factor 4 = Price per KGallons</t>
  </si>
  <si>
    <t>Price per KGallons for Simulation:</t>
  </si>
  <si>
    <t>Frequency</t>
  </si>
  <si>
    <t>Cumulative %</t>
  </si>
  <si>
    <t>Simulation Results for LA-1</t>
  </si>
  <si>
    <t>Average:</t>
  </si>
  <si>
    <t>Std Dev:</t>
  </si>
  <si>
    <t xml:space="preserve">TARGET PPKG </t>
  </si>
  <si>
    <t>Price per K-Gallons:</t>
  </si>
  <si>
    <t>Total Annual Costs:</t>
  </si>
  <si>
    <t>Contract NPW</t>
  </si>
  <si>
    <t>Contract NPW Range</t>
  </si>
  <si>
    <t>Contract Length:</t>
  </si>
  <si>
    <t>Contract Length (Years):</t>
  </si>
  <si>
    <t>Early Removal Cost:</t>
  </si>
  <si>
    <t>Factor 3 = Contract Length</t>
  </si>
  <si>
    <t>years</t>
  </si>
  <si>
    <t xml:space="preserve">    Early Removal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</si>
</sst>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6" formatCode="&quot;$&quot;#,##0_);[Red]\(&quot;$&quot;#,##0\)"/>
    <numFmt numFmtId="8" formatCode="&quot;$&quot;#,##0.00_);[Red]\(&quot;$&quot;#,##0.00\)"/>
    <numFmt numFmtId="164" formatCode="0.0%"/>
    <numFmt numFmtId="165" formatCode="&quot;$&quot;#,##0.00000_);[Red]\(&quot;$&quot;#,##0.00000\)"/>
    <numFmt numFmtId="166" formatCode="&quot;$&quot;#,##0.000_);[Red]\(&quot;$&quot;#,##0.000\)"/>
    <numFmt numFmtId="167" formatCode="&quot;$&quot;#,##0.000"/>
  </numFmts>
  <fonts count="4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</font>
    <font>
      <sz val="11"/>
      <color indexed="9"/>
      <name val="Calibri"/>
      <family val="2"/>
    </font>
    <font>
      <b/>
      <u/>
      <sz val="16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FFFFFF"/>
      <name val="Calibri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b/>
      <sz val="14"/>
      <color indexed="8"/>
      <name val="Calibri"/>
      <family val="2"/>
    </font>
    <font>
      <b/>
      <i/>
      <sz val="12"/>
      <color rgb="FF000000"/>
      <name val="Calibri"/>
      <family val="2"/>
    </font>
    <font>
      <b/>
      <i/>
      <sz val="12"/>
      <color indexed="8"/>
      <name val="Calibri"/>
      <family val="2"/>
    </font>
    <font>
      <b/>
      <sz val="11"/>
      <name val="Calibri"/>
      <family val="2"/>
    </font>
    <font>
      <b/>
      <sz val="12"/>
      <color indexed="8"/>
      <name val="Calibri"/>
      <family val="2"/>
    </font>
    <font>
      <b/>
      <sz val="12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Arial"/>
      <family val="2"/>
    </font>
    <font>
      <b/>
      <i/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11"/>
      <color theme="1"/>
      <name val="Arial"/>
      <family val="2"/>
    </font>
    <font>
      <b/>
      <sz val="11"/>
      <color indexed="8"/>
      <name val="Arial"/>
      <family val="2"/>
    </font>
    <font>
      <b/>
      <sz val="11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14"/>
      <color theme="1"/>
      <name val="Calibri"/>
      <family val="2"/>
      <scheme val="minor"/>
    </font>
    <font>
      <b/>
      <sz val="12"/>
      <name val="Arial"/>
      <family val="2"/>
    </font>
    <font>
      <b/>
      <u/>
      <sz val="10"/>
      <name val="Arial"/>
      <family val="2"/>
    </font>
    <font>
      <i/>
      <sz val="11"/>
      <color theme="1"/>
      <name val="Calibri"/>
      <family val="2"/>
      <scheme val="minor"/>
    </font>
    <font>
      <b/>
      <i/>
      <sz val="12"/>
      <color rgb="FF0000FF"/>
      <name val="Calibri"/>
      <family val="2"/>
    </font>
    <font>
      <i/>
      <sz val="12"/>
      <color rgb="FF0000FF"/>
      <name val="Calibri"/>
      <family val="2"/>
      <scheme val="minor"/>
    </font>
    <font>
      <b/>
      <i/>
      <sz val="11"/>
      <name val="Calibri"/>
      <family val="2"/>
    </font>
    <font>
      <b/>
      <i/>
      <sz val="11"/>
      <color theme="1"/>
      <name val="Calibri"/>
      <family val="2"/>
      <scheme val="minor"/>
    </font>
    <font>
      <b/>
      <u/>
      <sz val="16"/>
      <name val="Arial"/>
      <family val="2"/>
    </font>
    <font>
      <b/>
      <i/>
      <sz val="10"/>
      <name val="Arial"/>
      <family val="2"/>
    </font>
    <font>
      <b/>
      <sz val="10"/>
      <color indexed="8"/>
      <name val="Arial"/>
      <family val="2"/>
    </font>
    <font>
      <sz val="10"/>
      <color indexed="44"/>
      <name val="Arial"/>
      <family val="2"/>
    </font>
    <font>
      <sz val="10"/>
      <color indexed="9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12"/>
      <color rgb="FF000000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CCFFCC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theme="9" tint="0.59999389629810485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rgb="FFFFFF99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1"/>
        <bgColor indexed="64"/>
      </patternFill>
    </fill>
    <fill>
      <patternFill patternType="lightUp">
        <bgColor indexed="43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0"/>
        <bgColor indexed="64"/>
      </patternFill>
    </fill>
  </fills>
  <borders count="3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20" fillId="0" borderId="0"/>
    <xf numFmtId="0" fontId="20" fillId="0" borderId="0"/>
  </cellStyleXfs>
  <cellXfs count="217">
    <xf numFmtId="0" fontId="0" fillId="0" borderId="0" xfId="0"/>
    <xf numFmtId="0" fontId="2" fillId="2" borderId="0" xfId="0" applyFont="1" applyFill="1" applyAlignment="1">
      <alignment vertical="center"/>
    </xf>
    <xf numFmtId="0" fontId="2" fillId="2" borderId="0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left" vertical="center"/>
    </xf>
    <xf numFmtId="0" fontId="3" fillId="2" borderId="1" xfId="0" applyFont="1" applyFill="1" applyBorder="1" applyAlignment="1">
      <alignment horizontal="right" vertical="center"/>
    </xf>
    <xf numFmtId="0" fontId="6" fillId="4" borderId="0" xfId="0" applyFont="1" applyFill="1" applyBorder="1" applyAlignment="1">
      <alignment vertical="center"/>
    </xf>
    <xf numFmtId="0" fontId="7" fillId="4" borderId="0" xfId="0" applyFont="1" applyFill="1" applyBorder="1" applyAlignment="1">
      <alignment vertical="center"/>
    </xf>
    <xf numFmtId="0" fontId="9" fillId="4" borderId="0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right" vertical="center"/>
    </xf>
    <xf numFmtId="8" fontId="0" fillId="0" borderId="0" xfId="0" applyNumberFormat="1"/>
    <xf numFmtId="0" fontId="4" fillId="5" borderId="6" xfId="0" applyNumberFormat="1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vertical="center"/>
    </xf>
    <xf numFmtId="0" fontId="2" fillId="2" borderId="11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8" fillId="0" borderId="0" xfId="0" applyFont="1" applyFill="1" applyBorder="1" applyAlignment="1">
      <alignment vertical="center"/>
    </xf>
    <xf numFmtId="0" fontId="0" fillId="0" borderId="0" xfId="0" applyFill="1" applyBorder="1" applyAlignment="1"/>
    <xf numFmtId="38" fontId="4" fillId="5" borderId="6" xfId="0" applyNumberFormat="1" applyFont="1" applyFill="1" applyBorder="1" applyAlignment="1">
      <alignment horizontal="center" vertical="center"/>
    </xf>
    <xf numFmtId="164" fontId="4" fillId="5" borderId="6" xfId="0" applyNumberFormat="1" applyFont="1" applyFill="1" applyBorder="1" applyAlignment="1">
      <alignment horizontal="center" vertical="center"/>
    </xf>
    <xf numFmtId="3" fontId="15" fillId="3" borderId="6" xfId="0" applyNumberFormat="1" applyFont="1" applyFill="1" applyBorder="1" applyAlignment="1">
      <alignment horizontal="center" vertical="center"/>
    </xf>
    <xf numFmtId="9" fontId="15" fillId="3" borderId="6" xfId="0" applyNumberFormat="1" applyFont="1" applyFill="1" applyBorder="1" applyAlignment="1">
      <alignment horizontal="center" vertical="center"/>
    </xf>
    <xf numFmtId="0" fontId="15" fillId="3" borderId="6" xfId="0" applyNumberFormat="1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8" fontId="15" fillId="3" borderId="6" xfId="0" applyNumberFormat="1" applyFont="1" applyFill="1" applyBorder="1" applyAlignment="1">
      <alignment horizontal="center" vertical="center"/>
    </xf>
    <xf numFmtId="165" fontId="15" fillId="3" borderId="6" xfId="0" applyNumberFormat="1" applyFont="1" applyFill="1" applyBorder="1" applyAlignment="1">
      <alignment horizontal="center" vertical="center"/>
    </xf>
    <xf numFmtId="0" fontId="1" fillId="0" borderId="0" xfId="0" applyFont="1" applyBorder="1" applyAlignment="1">
      <alignment horizontal="right" vertical="center"/>
    </xf>
    <xf numFmtId="0" fontId="9" fillId="9" borderId="0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right" vertical="center"/>
    </xf>
    <xf numFmtId="3" fontId="1" fillId="3" borderId="8" xfId="0" applyNumberFormat="1" applyFont="1" applyFill="1" applyBorder="1" applyAlignment="1">
      <alignment horizontal="center" vertical="center"/>
    </xf>
    <xf numFmtId="6" fontId="1" fillId="3" borderId="6" xfId="0" applyNumberFormat="1" applyFont="1" applyFill="1" applyBorder="1" applyAlignment="1">
      <alignment horizontal="center" vertical="center"/>
    </xf>
    <xf numFmtId="6" fontId="1" fillId="3" borderId="10" xfId="0" applyNumberFormat="1" applyFont="1" applyFill="1" applyBorder="1" applyAlignment="1">
      <alignment horizontal="center" vertical="center"/>
    </xf>
    <xf numFmtId="8" fontId="1" fillId="3" borderId="6" xfId="0" applyNumberFormat="1" applyFont="1" applyFill="1" applyBorder="1" applyAlignment="1">
      <alignment horizontal="center" vertical="center"/>
    </xf>
    <xf numFmtId="3" fontId="1" fillId="3" borderId="6" xfId="0" applyNumberFormat="1" applyFont="1" applyFill="1" applyBorder="1" applyAlignment="1">
      <alignment horizontal="center" vertical="center"/>
    </xf>
    <xf numFmtId="3" fontId="3" fillId="10" borderId="6" xfId="0" applyNumberFormat="1" applyFont="1" applyFill="1" applyBorder="1" applyAlignment="1">
      <alignment horizontal="center" vertical="center"/>
    </xf>
    <xf numFmtId="38" fontId="3" fillId="10" borderId="6" xfId="0" applyNumberFormat="1" applyFont="1" applyFill="1" applyBorder="1" applyAlignment="1">
      <alignment horizontal="center" vertical="center"/>
    </xf>
    <xf numFmtId="0" fontId="16" fillId="0" borderId="7" xfId="0" applyFont="1" applyFill="1" applyBorder="1" applyAlignment="1">
      <alignment horizontal="center"/>
    </xf>
    <xf numFmtId="0" fontId="16" fillId="2" borderId="6" xfId="0" applyFont="1" applyFill="1" applyBorder="1" applyAlignment="1">
      <alignment horizontal="center" vertical="center"/>
    </xf>
    <xf numFmtId="3" fontId="16" fillId="6" borderId="6" xfId="0" applyNumberFormat="1" applyFont="1" applyFill="1" applyBorder="1" applyAlignment="1">
      <alignment horizontal="center" vertical="center"/>
    </xf>
    <xf numFmtId="0" fontId="18" fillId="0" borderId="0" xfId="0" applyFont="1"/>
    <xf numFmtId="166" fontId="17" fillId="11" borderId="6" xfId="0" applyNumberFormat="1" applyFont="1" applyFill="1" applyBorder="1" applyAlignment="1">
      <alignment horizontal="center" vertical="center"/>
    </xf>
    <xf numFmtId="0" fontId="20" fillId="0" borderId="0" xfId="1"/>
    <xf numFmtId="8" fontId="21" fillId="0" borderId="0" xfId="0" applyNumberFormat="1" applyFont="1"/>
    <xf numFmtId="0" fontId="21" fillId="0" borderId="0" xfId="0" applyFont="1"/>
    <xf numFmtId="0" fontId="23" fillId="0" borderId="7" xfId="0" applyFont="1" applyFill="1" applyBorder="1" applyAlignment="1">
      <alignment horizontal="center"/>
    </xf>
    <xf numFmtId="0" fontId="24" fillId="0" borderId="0" xfId="0" applyFont="1" applyBorder="1" applyAlignment="1">
      <alignment horizontal="right" vertical="center"/>
    </xf>
    <xf numFmtId="3" fontId="24" fillId="10" borderId="8" xfId="0" applyNumberFormat="1" applyFont="1" applyFill="1" applyBorder="1" applyAlignment="1">
      <alignment horizontal="center" vertical="center"/>
    </xf>
    <xf numFmtId="6" fontId="24" fillId="10" borderId="6" xfId="0" applyNumberFormat="1" applyFont="1" applyFill="1" applyBorder="1" applyAlignment="1">
      <alignment horizontal="center" vertical="center"/>
    </xf>
    <xf numFmtId="6" fontId="24" fillId="10" borderId="10" xfId="0" applyNumberFormat="1" applyFont="1" applyFill="1" applyBorder="1" applyAlignment="1">
      <alignment horizontal="center" vertical="center"/>
    </xf>
    <xf numFmtId="3" fontId="24" fillId="10" borderId="6" xfId="0" applyNumberFormat="1" applyFont="1" applyFill="1" applyBorder="1" applyAlignment="1">
      <alignment horizontal="center" vertical="center"/>
    </xf>
    <xf numFmtId="0" fontId="25" fillId="0" borderId="0" xfId="1" applyFont="1" applyFill="1" applyAlignment="1">
      <alignment horizontal="right" vertical="center"/>
    </xf>
    <xf numFmtId="9" fontId="26" fillId="10" borderId="6" xfId="1" applyNumberFormat="1" applyFont="1" applyFill="1" applyBorder="1" applyAlignment="1">
      <alignment horizontal="center" vertical="center"/>
    </xf>
    <xf numFmtId="0" fontId="27" fillId="0" borderId="0" xfId="1" applyFont="1"/>
    <xf numFmtId="0" fontId="28" fillId="0" borderId="6" xfId="1" applyFont="1" applyBorder="1" applyAlignment="1">
      <alignment horizontal="center"/>
    </xf>
    <xf numFmtId="10" fontId="28" fillId="12" borderId="6" xfId="1" applyNumberFormat="1" applyFont="1" applyFill="1" applyBorder="1" applyAlignment="1">
      <alignment horizontal="center"/>
    </xf>
    <xf numFmtId="0" fontId="31" fillId="0" borderId="1" xfId="1" applyFont="1" applyBorder="1" applyAlignment="1">
      <alignment horizontal="right"/>
    </xf>
    <xf numFmtId="0" fontId="31" fillId="0" borderId="6" xfId="1" applyFont="1" applyBorder="1" applyAlignment="1">
      <alignment horizontal="center"/>
    </xf>
    <xf numFmtId="0" fontId="31" fillId="0" borderId="8" xfId="1" applyFont="1" applyBorder="1" applyAlignment="1">
      <alignment horizontal="center"/>
    </xf>
    <xf numFmtId="0" fontId="31" fillId="8" borderId="6" xfId="1" applyFont="1" applyFill="1" applyBorder="1"/>
    <xf numFmtId="0" fontId="20" fillId="13" borderId="13" xfId="1" applyFont="1" applyFill="1" applyBorder="1" applyAlignment="1">
      <alignment horizontal="center"/>
    </xf>
    <xf numFmtId="0" fontId="20" fillId="13" borderId="14" xfId="1" applyFont="1" applyFill="1" applyBorder="1" applyAlignment="1">
      <alignment horizontal="center"/>
    </xf>
    <xf numFmtId="0" fontId="20" fillId="13" borderId="0" xfId="1" applyFont="1" applyFill="1" applyBorder="1" applyAlignment="1">
      <alignment horizontal="center"/>
    </xf>
    <xf numFmtId="0" fontId="20" fillId="13" borderId="14" xfId="1" applyFill="1" applyBorder="1"/>
    <xf numFmtId="0" fontId="20" fillId="13" borderId="15" xfId="1" applyFill="1" applyBorder="1"/>
    <xf numFmtId="0" fontId="28" fillId="0" borderId="12" xfId="1" applyFont="1" applyBorder="1"/>
    <xf numFmtId="6" fontId="20" fillId="0" borderId="12" xfId="1" applyNumberFormat="1" applyFont="1" applyFill="1" applyBorder="1" applyAlignment="1">
      <alignment horizontal="center"/>
    </xf>
    <xf numFmtId="6" fontId="28" fillId="14" borderId="0" xfId="1" applyNumberFormat="1" applyFont="1" applyFill="1" applyBorder="1" applyAlignment="1">
      <alignment horizontal="center"/>
    </xf>
    <xf numFmtId="0" fontId="20" fillId="14" borderId="0" xfId="1" applyFill="1" applyBorder="1"/>
    <xf numFmtId="0" fontId="20" fillId="14" borderId="5" xfId="1" applyFill="1" applyBorder="1"/>
    <xf numFmtId="0" fontId="28" fillId="0" borderId="12" xfId="1" applyFont="1" applyFill="1" applyBorder="1" applyAlignment="1">
      <alignment horizontal="center"/>
    </xf>
    <xf numFmtId="0" fontId="28" fillId="0" borderId="0" xfId="1" applyFont="1" applyFill="1" applyBorder="1" applyAlignment="1">
      <alignment horizontal="center"/>
    </xf>
    <xf numFmtId="0" fontId="20" fillId="0" borderId="0" xfId="1" applyFill="1" applyBorder="1"/>
    <xf numFmtId="0" fontId="20" fillId="0" borderId="5" xfId="1" applyFill="1" applyBorder="1"/>
    <xf numFmtId="0" fontId="28" fillId="0" borderId="12" xfId="1" applyFont="1" applyBorder="1" applyAlignment="1">
      <alignment horizontal="left"/>
    </xf>
    <xf numFmtId="6" fontId="28" fillId="0" borderId="12" xfId="1" applyNumberFormat="1" applyFont="1" applyFill="1" applyBorder="1" applyAlignment="1">
      <alignment horizontal="center"/>
    </xf>
    <xf numFmtId="6" fontId="28" fillId="15" borderId="0" xfId="1" applyNumberFormat="1" applyFont="1" applyFill="1" applyBorder="1" applyAlignment="1">
      <alignment horizontal="center"/>
    </xf>
    <xf numFmtId="6" fontId="28" fillId="0" borderId="0" xfId="1" applyNumberFormat="1" applyFont="1" applyFill="1" applyBorder="1" applyAlignment="1">
      <alignment horizontal="center"/>
    </xf>
    <xf numFmtId="0" fontId="20" fillId="0" borderId="1" xfId="1" applyFill="1" applyBorder="1"/>
    <xf numFmtId="6" fontId="28" fillId="15" borderId="5" xfId="1" applyNumberFormat="1" applyFont="1" applyFill="1" applyBorder="1" applyAlignment="1">
      <alignment horizontal="center"/>
    </xf>
    <xf numFmtId="6" fontId="28" fillId="15" borderId="3" xfId="1" applyNumberFormat="1" applyFont="1" applyFill="1" applyBorder="1" applyAlignment="1">
      <alignment horizontal="center"/>
    </xf>
    <xf numFmtId="6" fontId="28" fillId="15" borderId="1" xfId="1" applyNumberFormat="1" applyFont="1" applyFill="1" applyBorder="1" applyAlignment="1">
      <alignment horizontal="center"/>
    </xf>
    <xf numFmtId="6" fontId="28" fillId="15" borderId="16" xfId="1" applyNumberFormat="1" applyFont="1" applyFill="1" applyBorder="1" applyAlignment="1">
      <alignment horizontal="center"/>
    </xf>
    <xf numFmtId="0" fontId="20" fillId="0" borderId="11" xfId="1" applyBorder="1"/>
    <xf numFmtId="6" fontId="28" fillId="0" borderId="11" xfId="1" applyNumberFormat="1" applyFont="1" applyFill="1" applyBorder="1" applyAlignment="1">
      <alignment horizontal="center"/>
    </xf>
    <xf numFmtId="6" fontId="28" fillId="0" borderId="1" xfId="1" applyNumberFormat="1" applyFont="1" applyFill="1" applyBorder="1" applyAlignment="1">
      <alignment horizontal="center"/>
    </xf>
    <xf numFmtId="6" fontId="28" fillId="0" borderId="2" xfId="1" applyNumberFormat="1" applyFont="1" applyFill="1" applyBorder="1" applyAlignment="1">
      <alignment horizontal="center"/>
    </xf>
    <xf numFmtId="6" fontId="28" fillId="13" borderId="13" xfId="1" applyNumberFormat="1" applyFont="1" applyFill="1" applyBorder="1" applyAlignment="1">
      <alignment horizontal="center"/>
    </xf>
    <xf numFmtId="6" fontId="28" fillId="13" borderId="14" xfId="1" applyNumberFormat="1" applyFont="1" applyFill="1" applyBorder="1" applyAlignment="1">
      <alignment horizontal="center"/>
    </xf>
    <xf numFmtId="6" fontId="28" fillId="13" borderId="15" xfId="1" applyNumberFormat="1" applyFont="1" applyFill="1" applyBorder="1" applyAlignment="1">
      <alignment horizontal="center"/>
    </xf>
    <xf numFmtId="0" fontId="32" fillId="0" borderId="12" xfId="1" applyFont="1" applyBorder="1"/>
    <xf numFmtId="0" fontId="28" fillId="0" borderId="5" xfId="1" applyFont="1" applyFill="1" applyBorder="1" applyAlignment="1">
      <alignment horizontal="center"/>
    </xf>
    <xf numFmtId="6" fontId="28" fillId="15" borderId="12" xfId="1" applyNumberFormat="1" applyFont="1" applyFill="1" applyBorder="1" applyAlignment="1">
      <alignment horizontal="center"/>
    </xf>
    <xf numFmtId="0" fontId="32" fillId="0" borderId="12" xfId="1" applyFont="1" applyBorder="1" applyAlignment="1">
      <alignment horizontal="left"/>
    </xf>
    <xf numFmtId="0" fontId="20" fillId="0" borderId="11" xfId="1" applyFill="1" applyBorder="1"/>
    <xf numFmtId="0" fontId="31" fillId="0" borderId="11" xfId="1" applyFont="1" applyBorder="1"/>
    <xf numFmtId="6" fontId="28" fillId="15" borderId="6" xfId="1" applyNumberFormat="1" applyFont="1" applyFill="1" applyBorder="1" applyAlignment="1">
      <alignment horizontal="center"/>
    </xf>
    <xf numFmtId="0" fontId="31" fillId="0" borderId="0" xfId="1" applyFont="1" applyAlignment="1">
      <alignment horizontal="right" vertical="center"/>
    </xf>
    <xf numFmtId="6" fontId="31" fillId="16" borderId="6" xfId="1" applyNumberFormat="1" applyFont="1" applyFill="1" applyBorder="1" applyAlignment="1">
      <alignment horizontal="center" vertical="center"/>
    </xf>
    <xf numFmtId="0" fontId="19" fillId="0" borderId="0" xfId="0" applyFont="1" applyFill="1" applyBorder="1"/>
    <xf numFmtId="0" fontId="0" fillId="0" borderId="0" xfId="0" applyFill="1" applyBorder="1"/>
    <xf numFmtId="0" fontId="33" fillId="0" borderId="0" xfId="0" applyFont="1"/>
    <xf numFmtId="0" fontId="34" fillId="2" borderId="0" xfId="0" applyFont="1" applyFill="1" applyAlignment="1">
      <alignment horizontal="right" vertical="center"/>
    </xf>
    <xf numFmtId="0" fontId="35" fillId="0" borderId="0" xfId="0" applyFont="1"/>
    <xf numFmtId="8" fontId="36" fillId="10" borderId="6" xfId="0" applyNumberFormat="1" applyFont="1" applyFill="1" applyBorder="1" applyAlignment="1">
      <alignment horizontal="center" vertical="center"/>
    </xf>
    <xf numFmtId="8" fontId="36" fillId="10" borderId="17" xfId="0" applyNumberFormat="1" applyFont="1" applyFill="1" applyBorder="1" applyAlignment="1">
      <alignment horizontal="center" vertical="center"/>
    </xf>
    <xf numFmtId="0" fontId="38" fillId="0" borderId="0" xfId="2" applyFont="1"/>
    <xf numFmtId="0" fontId="20" fillId="0" borderId="0" xfId="2"/>
    <xf numFmtId="0" fontId="20" fillId="12" borderId="26" xfId="2" applyFill="1" applyBorder="1"/>
    <xf numFmtId="0" fontId="31" fillId="12" borderId="14" xfId="2" applyFont="1" applyFill="1" applyBorder="1" applyAlignment="1">
      <alignment horizontal="center" vertical="center"/>
    </xf>
    <xf numFmtId="0" fontId="20" fillId="12" borderId="27" xfId="2" applyFill="1" applyBorder="1"/>
    <xf numFmtId="0" fontId="40" fillId="12" borderId="28" xfId="2" applyFont="1" applyFill="1" applyBorder="1" applyAlignment="1">
      <alignment horizontal="right" vertical="center" wrapText="1"/>
    </xf>
    <xf numFmtId="3" fontId="31" fillId="15" borderId="6" xfId="2" applyNumberFormat="1" applyFont="1" applyFill="1" applyBorder="1" applyAlignment="1">
      <alignment horizontal="center" vertical="center"/>
    </xf>
    <xf numFmtId="0" fontId="28" fillId="12" borderId="0" xfId="2" applyFont="1" applyFill="1" applyBorder="1" applyAlignment="1">
      <alignment horizontal="left" vertical="center" wrapText="1"/>
    </xf>
    <xf numFmtId="0" fontId="28" fillId="0" borderId="6" xfId="2" applyFont="1" applyFill="1" applyBorder="1" applyAlignment="1">
      <alignment horizontal="right" vertical="center" wrapText="1"/>
    </xf>
    <xf numFmtId="3" fontId="31" fillId="3" borderId="6" xfId="2" applyNumberFormat="1" applyFont="1" applyFill="1" applyBorder="1" applyAlignment="1">
      <alignment horizontal="center" vertical="center"/>
    </xf>
    <xf numFmtId="0" fontId="41" fillId="12" borderId="29" xfId="2" applyFont="1" applyFill="1" applyBorder="1" applyAlignment="1">
      <alignment horizontal="left"/>
    </xf>
    <xf numFmtId="0" fontId="20" fillId="12" borderId="30" xfId="2" applyFill="1" applyBorder="1"/>
    <xf numFmtId="0" fontId="28" fillId="12" borderId="1" xfId="2" applyFont="1" applyFill="1" applyBorder="1" applyAlignment="1">
      <alignment horizontal="center" vertical="top"/>
    </xf>
    <xf numFmtId="0" fontId="20" fillId="12" borderId="1" xfId="2" applyFill="1" applyBorder="1"/>
    <xf numFmtId="0" fontId="20" fillId="12" borderId="31" xfId="2" applyFill="1" applyBorder="1"/>
    <xf numFmtId="10" fontId="31" fillId="15" borderId="6" xfId="2" applyNumberFormat="1" applyFont="1" applyFill="1" applyBorder="1" applyAlignment="1">
      <alignment horizontal="center" vertical="center"/>
    </xf>
    <xf numFmtId="10" fontId="31" fillId="3" borderId="6" xfId="2" applyNumberFormat="1" applyFont="1" applyFill="1" applyBorder="1" applyAlignment="1">
      <alignment horizontal="center" vertical="center"/>
    </xf>
    <xf numFmtId="0" fontId="42" fillId="12" borderId="29" xfId="2" applyFont="1" applyFill="1" applyBorder="1" applyAlignment="1">
      <alignment horizontal="left"/>
    </xf>
    <xf numFmtId="0" fontId="28" fillId="12" borderId="28" xfId="2" applyFont="1" applyFill="1" applyBorder="1" applyAlignment="1">
      <alignment horizontal="right" vertical="center"/>
    </xf>
    <xf numFmtId="0" fontId="20" fillId="12" borderId="0" xfId="2" applyFill="1" applyBorder="1"/>
    <xf numFmtId="0" fontId="20" fillId="12" borderId="29" xfId="2" applyFill="1" applyBorder="1"/>
    <xf numFmtId="0" fontId="20" fillId="12" borderId="28" xfId="2" applyFill="1" applyBorder="1"/>
    <xf numFmtId="0" fontId="31" fillId="12" borderId="0" xfId="2" applyFont="1" applyFill="1" applyBorder="1" applyAlignment="1">
      <alignment horizontal="center" vertical="center"/>
    </xf>
    <xf numFmtId="0" fontId="31" fillId="0" borderId="6" xfId="2" applyFont="1" applyBorder="1" applyAlignment="1">
      <alignment horizontal="center"/>
    </xf>
    <xf numFmtId="0" fontId="20" fillId="12" borderId="32" xfId="2" applyFill="1" applyBorder="1"/>
    <xf numFmtId="0" fontId="20" fillId="12" borderId="33" xfId="2" applyFill="1" applyBorder="1"/>
    <xf numFmtId="0" fontId="20" fillId="12" borderId="34" xfId="2" applyFill="1" applyBorder="1"/>
    <xf numFmtId="0" fontId="31" fillId="0" borderId="0" xfId="2" applyFont="1" applyAlignment="1">
      <alignment horizontal="right" vertical="center"/>
    </xf>
    <xf numFmtId="6" fontId="31" fillId="3" borderId="6" xfId="2" applyNumberFormat="1" applyFont="1" applyFill="1" applyBorder="1" applyAlignment="1">
      <alignment horizontal="center" vertical="center"/>
    </xf>
    <xf numFmtId="0" fontId="20" fillId="0" borderId="0" xfId="2" applyAlignment="1">
      <alignment vertical="center"/>
    </xf>
    <xf numFmtId="0" fontId="29" fillId="0" borderId="0" xfId="2" applyFont="1" applyFill="1" applyBorder="1" applyAlignment="1"/>
    <xf numFmtId="8" fontId="31" fillId="15" borderId="6" xfId="2" applyNumberFormat="1" applyFont="1" applyFill="1" applyBorder="1" applyAlignment="1">
      <alignment horizontal="center" vertical="center"/>
    </xf>
    <xf numFmtId="8" fontId="31" fillId="0" borderId="0" xfId="2" applyNumberFormat="1" applyFont="1" applyFill="1" applyBorder="1" applyAlignment="1">
      <alignment horizontal="center" vertical="center"/>
    </xf>
    <xf numFmtId="0" fontId="28" fillId="0" borderId="6" xfId="2" applyFont="1" applyBorder="1" applyAlignment="1">
      <alignment horizontal="center" vertical="center" wrapText="1"/>
    </xf>
    <xf numFmtId="10" fontId="31" fillId="16" borderId="6" xfId="2" applyNumberFormat="1" applyFont="1" applyFill="1" applyBorder="1" applyAlignment="1">
      <alignment horizontal="center" vertical="center"/>
    </xf>
    <xf numFmtId="10" fontId="31" fillId="0" borderId="0" xfId="2" applyNumberFormat="1" applyFont="1" applyFill="1" applyBorder="1" applyAlignment="1">
      <alignment horizontal="center" vertical="center"/>
    </xf>
    <xf numFmtId="0" fontId="28" fillId="0" borderId="6" xfId="2" applyFont="1" applyFill="1" applyBorder="1" applyAlignment="1">
      <alignment horizontal="center" vertical="center" wrapText="1"/>
    </xf>
    <xf numFmtId="10" fontId="31" fillId="3" borderId="9" xfId="2" applyNumberFormat="1" applyFont="1" applyFill="1" applyBorder="1" applyAlignment="1">
      <alignment horizontal="center" vertical="center"/>
    </xf>
    <xf numFmtId="0" fontId="42" fillId="0" borderId="0" xfId="2" applyFont="1" applyFill="1" applyBorder="1" applyAlignment="1">
      <alignment horizontal="left"/>
    </xf>
    <xf numFmtId="0" fontId="28" fillId="0" borderId="6" xfId="2" applyFont="1" applyBorder="1" applyAlignment="1">
      <alignment horizontal="center"/>
    </xf>
    <xf numFmtId="0" fontId="28" fillId="0" borderId="0" xfId="2" applyFont="1" applyAlignment="1">
      <alignment horizontal="right"/>
    </xf>
    <xf numFmtId="3" fontId="28" fillId="15" borderId="6" xfId="2" applyNumberFormat="1" applyFont="1" applyFill="1" applyBorder="1" applyAlignment="1">
      <alignment horizontal="center" vertical="center"/>
    </xf>
    <xf numFmtId="10" fontId="28" fillId="15" borderId="6" xfId="2" applyNumberFormat="1" applyFont="1" applyFill="1" applyBorder="1" applyAlignment="1">
      <alignment horizontal="center" vertical="center"/>
    </xf>
    <xf numFmtId="0" fontId="28" fillId="0" borderId="6" xfId="2" applyFont="1" applyBorder="1" applyAlignment="1">
      <alignment horizontal="center" wrapText="1"/>
    </xf>
    <xf numFmtId="0" fontId="28" fillId="18" borderId="8" xfId="2" applyFont="1" applyFill="1" applyBorder="1" applyAlignment="1">
      <alignment horizontal="center" wrapText="1"/>
    </xf>
    <xf numFmtId="0" fontId="28" fillId="0" borderId="0" xfId="2" applyFont="1"/>
    <xf numFmtId="8" fontId="31" fillId="19" borderId="6" xfId="2" applyNumberFormat="1" applyFont="1" applyFill="1" applyBorder="1" applyAlignment="1">
      <alignment horizontal="center"/>
    </xf>
    <xf numFmtId="6" fontId="31" fillId="0" borderId="0" xfId="2" applyNumberFormat="1" applyFont="1" applyFill="1" applyBorder="1" applyAlignment="1">
      <alignment horizontal="center"/>
    </xf>
    <xf numFmtId="6" fontId="28" fillId="15" borderId="8" xfId="2" applyNumberFormat="1" applyFont="1" applyFill="1" applyBorder="1" applyAlignment="1">
      <alignment horizontal="center"/>
    </xf>
    <xf numFmtId="0" fontId="28" fillId="15" borderId="13" xfId="2" applyFont="1" applyFill="1" applyBorder="1" applyAlignment="1">
      <alignment horizontal="center"/>
    </xf>
    <xf numFmtId="1" fontId="28" fillId="15" borderId="8" xfId="2" applyNumberFormat="1" applyFont="1" applyFill="1" applyBorder="1" applyAlignment="1">
      <alignment horizontal="center"/>
    </xf>
    <xf numFmtId="1" fontId="28" fillId="15" borderId="10" xfId="2" applyNumberFormat="1" applyFont="1" applyFill="1" applyBorder="1" applyAlignment="1">
      <alignment horizontal="center"/>
    </xf>
    <xf numFmtId="1" fontId="28" fillId="12" borderId="10" xfId="2" applyNumberFormat="1" applyFont="1" applyFill="1" applyBorder="1" applyAlignment="1">
      <alignment horizontal="center"/>
    </xf>
    <xf numFmtId="1" fontId="28" fillId="15" borderId="7" xfId="2" applyNumberFormat="1" applyFont="1" applyFill="1" applyBorder="1" applyAlignment="1">
      <alignment horizontal="center"/>
    </xf>
    <xf numFmtId="10" fontId="28" fillId="15" borderId="14" xfId="2" applyNumberFormat="1" applyFont="1" applyFill="1" applyBorder="1" applyAlignment="1">
      <alignment horizontal="center"/>
    </xf>
    <xf numFmtId="10" fontId="28" fillId="15" borderId="8" xfId="2" applyNumberFormat="1" applyFont="1" applyFill="1" applyBorder="1" applyAlignment="1">
      <alignment horizontal="center"/>
    </xf>
    <xf numFmtId="6" fontId="28" fillId="15" borderId="10" xfId="2" applyNumberFormat="1" applyFont="1" applyFill="1" applyBorder="1" applyAlignment="1">
      <alignment horizontal="center"/>
    </xf>
    <xf numFmtId="0" fontId="28" fillId="15" borderId="12" xfId="2" applyFont="1" applyFill="1" applyBorder="1" applyAlignment="1">
      <alignment horizontal="center"/>
    </xf>
    <xf numFmtId="10" fontId="28" fillId="15" borderId="0" xfId="2" applyNumberFormat="1" applyFont="1" applyFill="1" applyBorder="1" applyAlignment="1">
      <alignment horizontal="center"/>
    </xf>
    <xf numFmtId="10" fontId="28" fillId="15" borderId="10" xfId="2" applyNumberFormat="1" applyFont="1" applyFill="1" applyBorder="1" applyAlignment="1">
      <alignment horizontal="center"/>
    </xf>
    <xf numFmtId="6" fontId="28" fillId="12" borderId="10" xfId="2" applyNumberFormat="1" applyFont="1" applyFill="1" applyBorder="1" applyAlignment="1">
      <alignment horizontal="center"/>
    </xf>
    <xf numFmtId="0" fontId="28" fillId="12" borderId="12" xfId="2" applyFont="1" applyFill="1" applyBorder="1" applyAlignment="1">
      <alignment horizontal="center"/>
    </xf>
    <xf numFmtId="10" fontId="28" fillId="12" borderId="0" xfId="2" applyNumberFormat="1" applyFont="1" applyFill="1" applyBorder="1" applyAlignment="1">
      <alignment horizontal="center"/>
    </xf>
    <xf numFmtId="10" fontId="28" fillId="20" borderId="17" xfId="2" applyNumberFormat="1" applyFont="1" applyFill="1" applyBorder="1" applyAlignment="1">
      <alignment horizontal="center"/>
    </xf>
    <xf numFmtId="0" fontId="31" fillId="0" borderId="0" xfId="2" applyFont="1"/>
    <xf numFmtId="6" fontId="28" fillId="15" borderId="7" xfId="2" applyNumberFormat="1" applyFont="1" applyFill="1" applyBorder="1" applyAlignment="1">
      <alignment horizontal="center"/>
    </xf>
    <xf numFmtId="0" fontId="28" fillId="15" borderId="11" xfId="2" applyFont="1" applyFill="1" applyBorder="1" applyAlignment="1">
      <alignment horizontal="center"/>
    </xf>
    <xf numFmtId="10" fontId="28" fillId="15" borderId="1" xfId="2" applyNumberFormat="1" applyFont="1" applyFill="1" applyBorder="1" applyAlignment="1">
      <alignment horizontal="center"/>
    </xf>
    <xf numFmtId="10" fontId="28" fillId="15" borderId="7" xfId="2" applyNumberFormat="1" applyFont="1" applyFill="1" applyBorder="1" applyAlignment="1">
      <alignment horizontal="center"/>
    </xf>
    <xf numFmtId="167" fontId="31" fillId="17" borderId="6" xfId="2" applyNumberFormat="1" applyFont="1" applyFill="1" applyBorder="1" applyAlignment="1">
      <alignment horizontal="center" vertical="center"/>
    </xf>
    <xf numFmtId="167" fontId="31" fillId="3" borderId="6" xfId="2" applyNumberFormat="1" applyFont="1" applyFill="1" applyBorder="1" applyAlignment="1">
      <alignment horizontal="center" vertical="center"/>
    </xf>
    <xf numFmtId="0" fontId="29" fillId="18" borderId="6" xfId="2" applyFont="1" applyFill="1" applyBorder="1" applyAlignment="1">
      <alignment horizontal="center" vertical="center" wrapText="1"/>
    </xf>
    <xf numFmtId="8" fontId="37" fillId="16" borderId="6" xfId="0" applyNumberFormat="1" applyFont="1" applyFill="1" applyBorder="1" applyAlignment="1">
      <alignment horizontal="center" vertical="center"/>
    </xf>
    <xf numFmtId="0" fontId="28" fillId="0" borderId="9" xfId="2" applyFont="1" applyBorder="1" applyAlignment="1">
      <alignment horizontal="center"/>
    </xf>
    <xf numFmtId="0" fontId="28" fillId="0" borderId="4" xfId="2" applyFont="1" applyBorder="1" applyAlignment="1">
      <alignment horizontal="center"/>
    </xf>
    <xf numFmtId="0" fontId="29" fillId="17" borderId="18" xfId="2" applyFont="1" applyFill="1" applyBorder="1" applyAlignment="1">
      <alignment horizontal="center" vertical="center"/>
    </xf>
    <xf numFmtId="0" fontId="29" fillId="17" borderId="19" xfId="2" applyFont="1" applyFill="1" applyBorder="1" applyAlignment="1">
      <alignment horizontal="center" vertical="center"/>
    </xf>
    <xf numFmtId="0" fontId="29" fillId="17" borderId="20" xfId="2" applyFont="1" applyFill="1" applyBorder="1" applyAlignment="1">
      <alignment horizontal="center" vertical="center"/>
    </xf>
    <xf numFmtId="0" fontId="39" fillId="0" borderId="21" xfId="2" applyFont="1" applyBorder="1" applyAlignment="1">
      <alignment horizontal="center"/>
    </xf>
    <xf numFmtId="0" fontId="39" fillId="0" borderId="22" xfId="2" applyFont="1" applyBorder="1" applyAlignment="1">
      <alignment horizontal="center"/>
    </xf>
    <xf numFmtId="0" fontId="39" fillId="0" borderId="23" xfId="2" applyFont="1" applyBorder="1" applyAlignment="1">
      <alignment horizontal="center"/>
    </xf>
    <xf numFmtId="0" fontId="31" fillId="18" borderId="24" xfId="2" applyFont="1" applyFill="1" applyBorder="1" applyAlignment="1">
      <alignment horizontal="center" vertical="center"/>
    </xf>
    <xf numFmtId="0" fontId="31" fillId="18" borderId="3" xfId="2" applyFont="1" applyFill="1" applyBorder="1" applyAlignment="1">
      <alignment horizontal="center" vertical="center"/>
    </xf>
    <xf numFmtId="0" fontId="31" fillId="18" borderId="25" xfId="2" applyFont="1" applyFill="1" applyBorder="1" applyAlignment="1">
      <alignment horizontal="center" vertical="center"/>
    </xf>
    <xf numFmtId="0" fontId="12" fillId="8" borderId="6" xfId="0" applyFont="1" applyFill="1" applyBorder="1" applyAlignment="1">
      <alignment horizontal="center" vertical="center"/>
    </xf>
    <xf numFmtId="0" fontId="14" fillId="8" borderId="9" xfId="0" applyFont="1" applyFill="1" applyBorder="1" applyAlignment="1">
      <alignment horizontal="center" vertical="center"/>
    </xf>
    <xf numFmtId="0" fontId="14" fillId="8" borderId="3" xfId="0" applyFont="1" applyFill="1" applyBorder="1" applyAlignment="1">
      <alignment horizontal="center" vertical="center"/>
    </xf>
    <xf numFmtId="0" fontId="14" fillId="8" borderId="4" xfId="0" applyFont="1" applyFill="1" applyBorder="1" applyAlignment="1">
      <alignment horizontal="center" vertical="center"/>
    </xf>
    <xf numFmtId="0" fontId="14" fillId="8" borderId="9" xfId="0" applyFont="1" applyFill="1" applyBorder="1" applyAlignment="1">
      <alignment horizontal="right" vertical="center"/>
    </xf>
    <xf numFmtId="0" fontId="14" fillId="8" borderId="3" xfId="0" applyFont="1" applyFill="1" applyBorder="1" applyAlignment="1">
      <alignment horizontal="right" vertical="center"/>
    </xf>
    <xf numFmtId="0" fontId="14" fillId="8" borderId="4" xfId="0" applyFont="1" applyFill="1" applyBorder="1" applyAlignment="1">
      <alignment horizontal="right" vertical="center"/>
    </xf>
    <xf numFmtId="0" fontId="13" fillId="7" borderId="9" xfId="0" applyFont="1" applyFill="1" applyBorder="1" applyAlignment="1">
      <alignment horizontal="right" vertical="center"/>
    </xf>
    <xf numFmtId="0" fontId="13" fillId="7" borderId="3" xfId="0" applyFont="1" applyFill="1" applyBorder="1" applyAlignment="1">
      <alignment horizontal="right" vertical="center"/>
    </xf>
    <xf numFmtId="0" fontId="13" fillId="7" borderId="4" xfId="0" applyFont="1" applyFill="1" applyBorder="1" applyAlignment="1">
      <alignment horizontal="right" vertical="center"/>
    </xf>
    <xf numFmtId="0" fontId="3" fillId="2" borderId="12" xfId="0" applyFont="1" applyFill="1" applyBorder="1" applyAlignment="1">
      <alignment horizontal="right" vertical="center" wrapText="1"/>
    </xf>
    <xf numFmtId="0" fontId="3" fillId="2" borderId="0" xfId="0" applyFont="1" applyFill="1" applyBorder="1" applyAlignment="1">
      <alignment horizontal="right" vertical="center" wrapText="1"/>
    </xf>
    <xf numFmtId="0" fontId="3" fillId="2" borderId="5" xfId="0" applyFont="1" applyFill="1" applyBorder="1" applyAlignment="1">
      <alignment horizontal="right" vertical="center" wrapText="1"/>
    </xf>
    <xf numFmtId="0" fontId="8" fillId="4" borderId="11" xfId="0" applyFont="1" applyFill="1" applyBorder="1" applyAlignment="1">
      <alignment horizontal="right" vertical="center"/>
    </xf>
    <xf numFmtId="0" fontId="8" fillId="4" borderId="1" xfId="0" applyFont="1" applyFill="1" applyBorder="1" applyAlignment="1">
      <alignment horizontal="right" vertical="center"/>
    </xf>
    <xf numFmtId="0" fontId="8" fillId="4" borderId="2" xfId="0" applyFont="1" applyFill="1" applyBorder="1" applyAlignment="1">
      <alignment horizontal="right" vertical="center"/>
    </xf>
    <xf numFmtId="0" fontId="8" fillId="4" borderId="9" xfId="0" applyFont="1" applyFill="1" applyBorder="1" applyAlignment="1">
      <alignment horizontal="right" vertical="center"/>
    </xf>
    <xf numFmtId="0" fontId="8" fillId="4" borderId="3" xfId="0" applyFont="1" applyFill="1" applyBorder="1" applyAlignment="1">
      <alignment horizontal="right" vertical="center"/>
    </xf>
    <xf numFmtId="0" fontId="8" fillId="4" borderId="4" xfId="0" applyFont="1" applyFill="1" applyBorder="1" applyAlignment="1">
      <alignment horizontal="right" vertical="center"/>
    </xf>
    <xf numFmtId="0" fontId="22" fillId="8" borderId="9" xfId="0" applyFont="1" applyFill="1" applyBorder="1" applyAlignment="1">
      <alignment horizontal="center" vertical="center"/>
    </xf>
    <xf numFmtId="0" fontId="22" fillId="8" borderId="3" xfId="0" applyFont="1" applyFill="1" applyBorder="1" applyAlignment="1">
      <alignment horizontal="center" vertical="center"/>
    </xf>
    <xf numFmtId="0" fontId="22" fillId="8" borderId="4" xfId="0" applyFont="1" applyFill="1" applyBorder="1" applyAlignment="1">
      <alignment horizontal="center" vertical="center"/>
    </xf>
    <xf numFmtId="0" fontId="25" fillId="8" borderId="9" xfId="1" applyFont="1" applyFill="1" applyBorder="1" applyAlignment="1">
      <alignment horizontal="center"/>
    </xf>
    <xf numFmtId="0" fontId="25" fillId="8" borderId="3" xfId="1" applyFont="1" applyFill="1" applyBorder="1" applyAlignment="1">
      <alignment horizontal="center"/>
    </xf>
    <xf numFmtId="0" fontId="25" fillId="8" borderId="4" xfId="1" applyFont="1" applyFill="1" applyBorder="1" applyAlignment="1">
      <alignment horizontal="center"/>
    </xf>
    <xf numFmtId="0" fontId="29" fillId="8" borderId="9" xfId="1" applyFont="1" applyFill="1" applyBorder="1" applyAlignment="1">
      <alignment horizontal="left"/>
    </xf>
    <xf numFmtId="0" fontId="30" fillId="8" borderId="3" xfId="0" applyFont="1" applyFill="1" applyBorder="1"/>
    <xf numFmtId="0" fontId="30" fillId="8" borderId="4" xfId="0" applyFont="1" applyFill="1" applyBorder="1"/>
    <xf numFmtId="8" fontId="15" fillId="10" borderId="6" xfId="0" applyNumberFormat="1" applyFont="1" applyFill="1" applyBorder="1" applyAlignment="1">
      <alignment horizontal="center" vertical="center"/>
    </xf>
    <xf numFmtId="8" fontId="24" fillId="13" borderId="6" xfId="0" applyNumberFormat="1" applyFont="1" applyFill="1" applyBorder="1" applyAlignment="1">
      <alignment horizontal="center" vertical="center"/>
    </xf>
  </cellXfs>
  <cellStyles count="3">
    <cellStyle name="Normal" xfId="0" builtinId="0"/>
    <cellStyle name="Normal 2" xfId="1"/>
    <cellStyle name="Normal_project-risk-analysis-completed" xfId="2"/>
  </cellStyles>
  <dxfs count="0"/>
  <tableStyles count="0" defaultTableStyle="TableStyleMedium9" defaultPivotStyle="PivotStyleLight16"/>
  <colors>
    <mruColors>
      <color rgb="FF0000FF"/>
      <color rgb="FF00FF00"/>
      <color rgb="FF66FF66"/>
      <color rgb="FFFFFF99"/>
      <color rgb="FFCCFF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Spin" dx="16" fmlaLink="$H$13" max="10000" min="1" page="10" val="5"/>
</file>

<file path=xl/ctrlProps/ctrlProp2.xml><?xml version="1.0" encoding="utf-8"?>
<formControlPr xmlns="http://schemas.microsoft.com/office/spreadsheetml/2009/9/main" objectType="Spin" dx="16" fmlaLink="$H$9" max="30000" page="10" val="50"/>
</file>

<file path=xl/ctrlProps/ctrlProp3.xml><?xml version="1.0" encoding="utf-8"?>
<formControlPr xmlns="http://schemas.microsoft.com/office/spreadsheetml/2009/9/main" objectType="Spin" dx="16" fmlaLink="$L$24" inc="10" max="30000" min="1" page="10" val="350"/>
</file>

<file path=xl/ctrlProps/ctrlProp4.xml><?xml version="1.0" encoding="utf-8"?>
<formControlPr xmlns="http://schemas.microsoft.com/office/spreadsheetml/2009/9/main" objectType="Spin" dx="16" fmlaLink="$J$29" max="10000" page="10" val="5"/>
</file>

<file path=xl/ctrlProps/ctrlProp5.xml><?xml version="1.0" encoding="utf-8"?>
<formControlPr xmlns="http://schemas.microsoft.com/office/spreadsheetml/2009/9/main" objectType="Spin" dx="16" fmlaLink="$M$29" max="10000" min="1" page="10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Spin" dx="16" fmlaLink="$F$5" inc="100" max="30000" page="10" val="2500"/>
</file>

<file path=xl/ctrlProps/ctrlProp8.xml><?xml version="1.0" encoding="utf-8"?>
<formControlPr xmlns="http://schemas.microsoft.com/office/spreadsheetml/2009/9/main" objectType="Spin" dx="16" fmlaLink="$G$6" max="1500" min="800" page="10" val="1050"/>
</file>

<file path=xl/ctrlProps/ctrlProp9.xml><?xml version="1.0" encoding="utf-8"?>
<formControlPr xmlns="http://schemas.microsoft.com/office/spreadsheetml/2009/9/main" objectType="Spin" dx="16" fmlaLink="$F$7" max="100" min="1" page="10" val="20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42649</xdr:colOff>
      <xdr:row>28</xdr:row>
      <xdr:rowOff>127948</xdr:rowOff>
    </xdr:from>
    <xdr:to>
      <xdr:col>6</xdr:col>
      <xdr:colOff>625522</xdr:colOff>
      <xdr:row>28</xdr:row>
      <xdr:rowOff>312762</xdr:rowOff>
    </xdr:to>
    <xdr:sp macro="" textlink="">
      <xdr:nvSpPr>
        <xdr:cNvPr id="3" name="Left-Right Arrow 2"/>
        <xdr:cNvSpPr/>
      </xdr:nvSpPr>
      <xdr:spPr>
        <a:xfrm>
          <a:off x="5658134" y="7705299"/>
          <a:ext cx="1521157" cy="184814"/>
        </a:xfrm>
        <a:prstGeom prst="left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638175</xdr:colOff>
          <xdr:row>12</xdr:row>
          <xdr:rowOff>0</xdr:rowOff>
        </xdr:from>
        <xdr:to>
          <xdr:col>7</xdr:col>
          <xdr:colOff>228600</xdr:colOff>
          <xdr:row>13</xdr:row>
          <xdr:rowOff>38100</xdr:rowOff>
        </xdr:to>
        <xdr:sp macro="" textlink="">
          <xdr:nvSpPr>
            <xdr:cNvPr id="2049" name="Spinner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8</xdr:row>
          <xdr:rowOff>0</xdr:rowOff>
        </xdr:from>
        <xdr:to>
          <xdr:col>7</xdr:col>
          <xdr:colOff>219075</xdr:colOff>
          <xdr:row>9</xdr:row>
          <xdr:rowOff>9525</xdr:rowOff>
        </xdr:to>
        <xdr:sp macro="" textlink="">
          <xdr:nvSpPr>
            <xdr:cNvPr id="2050" name="Spinner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12</xdr:col>
          <xdr:colOff>180975</xdr:colOff>
          <xdr:row>24</xdr:row>
          <xdr:rowOff>0</xdr:rowOff>
        </xdr:to>
        <xdr:sp macro="" textlink="">
          <xdr:nvSpPr>
            <xdr:cNvPr id="2051" name="Spinner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1466850</xdr:colOff>
          <xdr:row>28</xdr:row>
          <xdr:rowOff>0</xdr:rowOff>
        </xdr:from>
        <xdr:to>
          <xdr:col>9</xdr:col>
          <xdr:colOff>228600</xdr:colOff>
          <xdr:row>29</xdr:row>
          <xdr:rowOff>38100</xdr:rowOff>
        </xdr:to>
        <xdr:sp macro="" textlink="">
          <xdr:nvSpPr>
            <xdr:cNvPr id="2053" name="Spinner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12</xdr:col>
          <xdr:colOff>228600</xdr:colOff>
          <xdr:row>29</xdr:row>
          <xdr:rowOff>38100</xdr:rowOff>
        </xdr:to>
        <xdr:sp macro="" textlink="">
          <xdr:nvSpPr>
            <xdr:cNvPr id="2054" name="Spinner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19</xdr:row>
          <xdr:rowOff>85725</xdr:rowOff>
        </xdr:from>
        <xdr:to>
          <xdr:col>6</xdr:col>
          <xdr:colOff>638175</xdr:colOff>
          <xdr:row>22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Set to (Risk-Free) Breakeven Value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424763</xdr:colOff>
      <xdr:row>30</xdr:row>
      <xdr:rowOff>205967</xdr:rowOff>
    </xdr:from>
    <xdr:to>
      <xdr:col>11</xdr:col>
      <xdr:colOff>115845</xdr:colOff>
      <xdr:row>41</xdr:row>
      <xdr:rowOff>0</xdr:rowOff>
    </xdr:to>
    <xdr:sp macro="" textlink="">
      <xdr:nvSpPr>
        <xdr:cNvPr id="3" name="TextBox 2"/>
        <xdr:cNvSpPr txBox="1"/>
      </xdr:nvSpPr>
      <xdr:spPr>
        <a:xfrm>
          <a:off x="8456655" y="7980426"/>
          <a:ext cx="257433" cy="2381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 i="1">
              <a:solidFill>
                <a:schemeClr val="dk1"/>
              </a:solidFill>
              <a:latin typeface="+mn-lt"/>
              <a:ea typeface="+mn-ea"/>
              <a:cs typeface="+mn-cs"/>
            </a:rPr>
            <a:t>After-Tax</a:t>
          </a:r>
          <a:endParaRPr lang="en-US" sz="1600" b="1"/>
        </a:p>
        <a:p>
          <a:endParaRPr lang="en-US" sz="1200" b="1"/>
        </a:p>
      </xdr:txBody>
    </xdr:sp>
    <xdr:clientData/>
  </xdr:twoCellAnchor>
  <xdr:twoCellAnchor>
    <xdr:from>
      <xdr:col>0</xdr:col>
      <xdr:colOff>71438</xdr:colOff>
      <xdr:row>30</xdr:row>
      <xdr:rowOff>25744</xdr:rowOff>
    </xdr:from>
    <xdr:to>
      <xdr:col>10</xdr:col>
      <xdr:colOff>360405</xdr:colOff>
      <xdr:row>41</xdr:row>
      <xdr:rowOff>25743</xdr:rowOff>
    </xdr:to>
    <xdr:sp macro="" textlink="">
      <xdr:nvSpPr>
        <xdr:cNvPr id="4" name="Rounded Rectangle 3"/>
        <xdr:cNvSpPr/>
      </xdr:nvSpPr>
      <xdr:spPr>
        <a:xfrm>
          <a:off x="71438" y="8574432"/>
          <a:ext cx="8563811" cy="2666999"/>
        </a:xfrm>
        <a:prstGeom prst="roundRect">
          <a:avLst/>
        </a:prstGeom>
        <a:noFill/>
        <a:ln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0</xdr:rowOff>
        </xdr:from>
        <xdr:to>
          <xdr:col>6</xdr:col>
          <xdr:colOff>152400</xdr:colOff>
          <xdr:row>5</xdr:row>
          <xdr:rowOff>0</xdr:rowOff>
        </xdr:to>
        <xdr:sp macro="" textlink="">
          <xdr:nvSpPr>
            <xdr:cNvPr id="1029" name="Spinner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6</xdr:col>
          <xdr:colOff>152400</xdr:colOff>
          <xdr:row>6</xdr:row>
          <xdr:rowOff>0</xdr:rowOff>
        </xdr:to>
        <xdr:sp macro="" textlink="">
          <xdr:nvSpPr>
            <xdr:cNvPr id="1030" name="Spinner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6</xdr:row>
          <xdr:rowOff>0</xdr:rowOff>
        </xdr:from>
        <xdr:to>
          <xdr:col>6</xdr:col>
          <xdr:colOff>152400</xdr:colOff>
          <xdr:row>7</xdr:row>
          <xdr:rowOff>0</xdr:rowOff>
        </xdr:to>
        <xdr:sp macro="" textlink="">
          <xdr:nvSpPr>
            <xdr:cNvPr id="1031" name="Spinner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omments" Target="../comments2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2:M1036"/>
  <sheetViews>
    <sheetView zoomScale="80" zoomScaleNormal="80" workbookViewId="0"/>
  </sheetViews>
  <sheetFormatPr defaultRowHeight="12.75" x14ac:dyDescent="0.2"/>
  <cols>
    <col min="1" max="1" width="4.42578125" style="104" customWidth="1"/>
    <col min="2" max="2" width="8" style="104" customWidth="1"/>
    <col min="3" max="3" width="18.28515625" style="104" customWidth="1"/>
    <col min="4" max="4" width="24.140625" style="104" customWidth="1"/>
    <col min="5" max="5" width="26.5703125" style="104" bestFit="1" customWidth="1"/>
    <col min="6" max="6" width="14.140625" style="104" customWidth="1"/>
    <col min="7" max="7" width="9.5703125" style="104" customWidth="1"/>
    <col min="8" max="8" width="18.85546875" style="104" customWidth="1"/>
    <col min="9" max="9" width="22.7109375" style="104" customWidth="1"/>
    <col min="10" max="10" width="12.85546875" style="104" customWidth="1"/>
    <col min="11" max="11" width="15.5703125" style="104" customWidth="1"/>
    <col min="12" max="12" width="16.28515625" style="104" customWidth="1"/>
    <col min="13" max="13" width="11.5703125" style="104" customWidth="1"/>
    <col min="14" max="14" width="7.42578125" style="104" customWidth="1"/>
    <col min="15" max="15" width="9.85546875" style="104" customWidth="1"/>
    <col min="16" max="16" width="9.28515625" style="104" customWidth="1"/>
    <col min="17" max="250" width="9.140625" style="104"/>
    <col min="251" max="251" width="4.42578125" style="104" customWidth="1"/>
    <col min="252" max="252" width="7.85546875" style="104" customWidth="1"/>
    <col min="253" max="254" width="15.42578125" style="104" customWidth="1"/>
    <col min="255" max="255" width="14.5703125" style="104" customWidth="1"/>
    <col min="256" max="256" width="15.5703125" style="104" customWidth="1"/>
    <col min="257" max="258" width="16.85546875" style="104" customWidth="1"/>
    <col min="259" max="259" width="14.7109375" style="104" customWidth="1"/>
    <col min="260" max="260" width="12.85546875" style="104" customWidth="1"/>
    <col min="261" max="262" width="15" style="104" customWidth="1"/>
    <col min="263" max="263" width="7.28515625" style="104" customWidth="1"/>
    <col min="264" max="264" width="14.7109375" style="104" customWidth="1"/>
    <col min="265" max="265" width="13.7109375" style="104" customWidth="1"/>
    <col min="266" max="266" width="9.28515625" style="104" customWidth="1"/>
    <col min="267" max="267" width="12.42578125" style="104" customWidth="1"/>
    <col min="268" max="268" width="9.140625" style="104" bestFit="1" customWidth="1"/>
    <col min="269" max="269" width="10" style="104" customWidth="1"/>
    <col min="270" max="270" width="11.5703125" style="104" customWidth="1"/>
    <col min="271" max="506" width="9.140625" style="104"/>
    <col min="507" max="507" width="4.42578125" style="104" customWidth="1"/>
    <col min="508" max="508" width="7.85546875" style="104" customWidth="1"/>
    <col min="509" max="510" width="15.42578125" style="104" customWidth="1"/>
    <col min="511" max="511" width="14.5703125" style="104" customWidth="1"/>
    <col min="512" max="512" width="15.5703125" style="104" customWidth="1"/>
    <col min="513" max="514" width="16.85546875" style="104" customWidth="1"/>
    <col min="515" max="515" width="14.7109375" style="104" customWidth="1"/>
    <col min="516" max="516" width="12.85546875" style="104" customWidth="1"/>
    <col min="517" max="518" width="15" style="104" customWidth="1"/>
    <col min="519" max="519" width="7.28515625" style="104" customWidth="1"/>
    <col min="520" max="520" width="14.7109375" style="104" customWidth="1"/>
    <col min="521" max="521" width="13.7109375" style="104" customWidth="1"/>
    <col min="522" max="522" width="9.28515625" style="104" customWidth="1"/>
    <col min="523" max="523" width="12.42578125" style="104" customWidth="1"/>
    <col min="524" max="524" width="9.140625" style="104" bestFit="1" customWidth="1"/>
    <col min="525" max="525" width="10" style="104" customWidth="1"/>
    <col min="526" max="526" width="11.5703125" style="104" customWidth="1"/>
    <col min="527" max="762" width="9.140625" style="104"/>
    <col min="763" max="763" width="4.42578125" style="104" customWidth="1"/>
    <col min="764" max="764" width="7.85546875" style="104" customWidth="1"/>
    <col min="765" max="766" width="15.42578125" style="104" customWidth="1"/>
    <col min="767" max="767" width="14.5703125" style="104" customWidth="1"/>
    <col min="768" max="768" width="15.5703125" style="104" customWidth="1"/>
    <col min="769" max="770" width="16.85546875" style="104" customWidth="1"/>
    <col min="771" max="771" width="14.7109375" style="104" customWidth="1"/>
    <col min="772" max="772" width="12.85546875" style="104" customWidth="1"/>
    <col min="773" max="774" width="15" style="104" customWidth="1"/>
    <col min="775" max="775" width="7.28515625" style="104" customWidth="1"/>
    <col min="776" max="776" width="14.7109375" style="104" customWidth="1"/>
    <col min="777" max="777" width="13.7109375" style="104" customWidth="1"/>
    <col min="778" max="778" width="9.28515625" style="104" customWidth="1"/>
    <col min="779" max="779" width="12.42578125" style="104" customWidth="1"/>
    <col min="780" max="780" width="9.140625" style="104" bestFit="1" customWidth="1"/>
    <col min="781" max="781" width="10" style="104" customWidth="1"/>
    <col min="782" max="782" width="11.5703125" style="104" customWidth="1"/>
    <col min="783" max="1018" width="9.140625" style="104"/>
    <col min="1019" max="1019" width="4.42578125" style="104" customWidth="1"/>
    <col min="1020" max="1020" width="7.85546875" style="104" customWidth="1"/>
    <col min="1021" max="1022" width="15.42578125" style="104" customWidth="1"/>
    <col min="1023" max="1023" width="14.5703125" style="104" customWidth="1"/>
    <col min="1024" max="1024" width="15.5703125" style="104" customWidth="1"/>
    <col min="1025" max="1026" width="16.85546875" style="104" customWidth="1"/>
    <col min="1027" max="1027" width="14.7109375" style="104" customWidth="1"/>
    <col min="1028" max="1028" width="12.85546875" style="104" customWidth="1"/>
    <col min="1029" max="1030" width="15" style="104" customWidth="1"/>
    <col min="1031" max="1031" width="7.28515625" style="104" customWidth="1"/>
    <col min="1032" max="1032" width="14.7109375" style="104" customWidth="1"/>
    <col min="1033" max="1033" width="13.7109375" style="104" customWidth="1"/>
    <col min="1034" max="1034" width="9.28515625" style="104" customWidth="1"/>
    <col min="1035" max="1035" width="12.42578125" style="104" customWidth="1"/>
    <col min="1036" max="1036" width="9.140625" style="104" bestFit="1" customWidth="1"/>
    <col min="1037" max="1037" width="10" style="104" customWidth="1"/>
    <col min="1038" max="1038" width="11.5703125" style="104" customWidth="1"/>
    <col min="1039" max="1274" width="9.140625" style="104"/>
    <col min="1275" max="1275" width="4.42578125" style="104" customWidth="1"/>
    <col min="1276" max="1276" width="7.85546875" style="104" customWidth="1"/>
    <col min="1277" max="1278" width="15.42578125" style="104" customWidth="1"/>
    <col min="1279" max="1279" width="14.5703125" style="104" customWidth="1"/>
    <col min="1280" max="1280" width="15.5703125" style="104" customWidth="1"/>
    <col min="1281" max="1282" width="16.85546875" style="104" customWidth="1"/>
    <col min="1283" max="1283" width="14.7109375" style="104" customWidth="1"/>
    <col min="1284" max="1284" width="12.85546875" style="104" customWidth="1"/>
    <col min="1285" max="1286" width="15" style="104" customWidth="1"/>
    <col min="1287" max="1287" width="7.28515625" style="104" customWidth="1"/>
    <col min="1288" max="1288" width="14.7109375" style="104" customWidth="1"/>
    <col min="1289" max="1289" width="13.7109375" style="104" customWidth="1"/>
    <col min="1290" max="1290" width="9.28515625" style="104" customWidth="1"/>
    <col min="1291" max="1291" width="12.42578125" style="104" customWidth="1"/>
    <col min="1292" max="1292" width="9.140625" style="104" bestFit="1" customWidth="1"/>
    <col min="1293" max="1293" width="10" style="104" customWidth="1"/>
    <col min="1294" max="1294" width="11.5703125" style="104" customWidth="1"/>
    <col min="1295" max="1530" width="9.140625" style="104"/>
    <col min="1531" max="1531" width="4.42578125" style="104" customWidth="1"/>
    <col min="1532" max="1532" width="7.85546875" style="104" customWidth="1"/>
    <col min="1533" max="1534" width="15.42578125" style="104" customWidth="1"/>
    <col min="1535" max="1535" width="14.5703125" style="104" customWidth="1"/>
    <col min="1536" max="1536" width="15.5703125" style="104" customWidth="1"/>
    <col min="1537" max="1538" width="16.85546875" style="104" customWidth="1"/>
    <col min="1539" max="1539" width="14.7109375" style="104" customWidth="1"/>
    <col min="1540" max="1540" width="12.85546875" style="104" customWidth="1"/>
    <col min="1541" max="1542" width="15" style="104" customWidth="1"/>
    <col min="1543" max="1543" width="7.28515625" style="104" customWidth="1"/>
    <col min="1544" max="1544" width="14.7109375" style="104" customWidth="1"/>
    <col min="1545" max="1545" width="13.7109375" style="104" customWidth="1"/>
    <col min="1546" max="1546" width="9.28515625" style="104" customWidth="1"/>
    <col min="1547" max="1547" width="12.42578125" style="104" customWidth="1"/>
    <col min="1548" max="1548" width="9.140625" style="104" bestFit="1" customWidth="1"/>
    <col min="1549" max="1549" width="10" style="104" customWidth="1"/>
    <col min="1550" max="1550" width="11.5703125" style="104" customWidth="1"/>
    <col min="1551" max="1786" width="9.140625" style="104"/>
    <col min="1787" max="1787" width="4.42578125" style="104" customWidth="1"/>
    <col min="1788" max="1788" width="7.85546875" style="104" customWidth="1"/>
    <col min="1789" max="1790" width="15.42578125" style="104" customWidth="1"/>
    <col min="1791" max="1791" width="14.5703125" style="104" customWidth="1"/>
    <col min="1792" max="1792" width="15.5703125" style="104" customWidth="1"/>
    <col min="1793" max="1794" width="16.85546875" style="104" customWidth="1"/>
    <col min="1795" max="1795" width="14.7109375" style="104" customWidth="1"/>
    <col min="1796" max="1796" width="12.85546875" style="104" customWidth="1"/>
    <col min="1797" max="1798" width="15" style="104" customWidth="1"/>
    <col min="1799" max="1799" width="7.28515625" style="104" customWidth="1"/>
    <col min="1800" max="1800" width="14.7109375" style="104" customWidth="1"/>
    <col min="1801" max="1801" width="13.7109375" style="104" customWidth="1"/>
    <col min="1802" max="1802" width="9.28515625" style="104" customWidth="1"/>
    <col min="1803" max="1803" width="12.42578125" style="104" customWidth="1"/>
    <col min="1804" max="1804" width="9.140625" style="104" bestFit="1" customWidth="1"/>
    <col min="1805" max="1805" width="10" style="104" customWidth="1"/>
    <col min="1806" max="1806" width="11.5703125" style="104" customWidth="1"/>
    <col min="1807" max="2042" width="9.140625" style="104"/>
    <col min="2043" max="2043" width="4.42578125" style="104" customWidth="1"/>
    <col min="2044" max="2044" width="7.85546875" style="104" customWidth="1"/>
    <col min="2045" max="2046" width="15.42578125" style="104" customWidth="1"/>
    <col min="2047" max="2047" width="14.5703125" style="104" customWidth="1"/>
    <col min="2048" max="2048" width="15.5703125" style="104" customWidth="1"/>
    <col min="2049" max="2050" width="16.85546875" style="104" customWidth="1"/>
    <col min="2051" max="2051" width="14.7109375" style="104" customWidth="1"/>
    <col min="2052" max="2052" width="12.85546875" style="104" customWidth="1"/>
    <col min="2053" max="2054" width="15" style="104" customWidth="1"/>
    <col min="2055" max="2055" width="7.28515625" style="104" customWidth="1"/>
    <col min="2056" max="2056" width="14.7109375" style="104" customWidth="1"/>
    <col min="2057" max="2057" width="13.7109375" style="104" customWidth="1"/>
    <col min="2058" max="2058" width="9.28515625" style="104" customWidth="1"/>
    <col min="2059" max="2059" width="12.42578125" style="104" customWidth="1"/>
    <col min="2060" max="2060" width="9.140625" style="104" bestFit="1" customWidth="1"/>
    <col min="2061" max="2061" width="10" style="104" customWidth="1"/>
    <col min="2062" max="2062" width="11.5703125" style="104" customWidth="1"/>
    <col min="2063" max="2298" width="9.140625" style="104"/>
    <col min="2299" max="2299" width="4.42578125" style="104" customWidth="1"/>
    <col min="2300" max="2300" width="7.85546875" style="104" customWidth="1"/>
    <col min="2301" max="2302" width="15.42578125" style="104" customWidth="1"/>
    <col min="2303" max="2303" width="14.5703125" style="104" customWidth="1"/>
    <col min="2304" max="2304" width="15.5703125" style="104" customWidth="1"/>
    <col min="2305" max="2306" width="16.85546875" style="104" customWidth="1"/>
    <col min="2307" max="2307" width="14.7109375" style="104" customWidth="1"/>
    <col min="2308" max="2308" width="12.85546875" style="104" customWidth="1"/>
    <col min="2309" max="2310" width="15" style="104" customWidth="1"/>
    <col min="2311" max="2311" width="7.28515625" style="104" customWidth="1"/>
    <col min="2312" max="2312" width="14.7109375" style="104" customWidth="1"/>
    <col min="2313" max="2313" width="13.7109375" style="104" customWidth="1"/>
    <col min="2314" max="2314" width="9.28515625" style="104" customWidth="1"/>
    <col min="2315" max="2315" width="12.42578125" style="104" customWidth="1"/>
    <col min="2316" max="2316" width="9.140625" style="104" bestFit="1" customWidth="1"/>
    <col min="2317" max="2317" width="10" style="104" customWidth="1"/>
    <col min="2318" max="2318" width="11.5703125" style="104" customWidth="1"/>
    <col min="2319" max="2554" width="9.140625" style="104"/>
    <col min="2555" max="2555" width="4.42578125" style="104" customWidth="1"/>
    <col min="2556" max="2556" width="7.85546875" style="104" customWidth="1"/>
    <col min="2557" max="2558" width="15.42578125" style="104" customWidth="1"/>
    <col min="2559" max="2559" width="14.5703125" style="104" customWidth="1"/>
    <col min="2560" max="2560" width="15.5703125" style="104" customWidth="1"/>
    <col min="2561" max="2562" width="16.85546875" style="104" customWidth="1"/>
    <col min="2563" max="2563" width="14.7109375" style="104" customWidth="1"/>
    <col min="2564" max="2564" width="12.85546875" style="104" customWidth="1"/>
    <col min="2565" max="2566" width="15" style="104" customWidth="1"/>
    <col min="2567" max="2567" width="7.28515625" style="104" customWidth="1"/>
    <col min="2568" max="2568" width="14.7109375" style="104" customWidth="1"/>
    <col min="2569" max="2569" width="13.7109375" style="104" customWidth="1"/>
    <col min="2570" max="2570" width="9.28515625" style="104" customWidth="1"/>
    <col min="2571" max="2571" width="12.42578125" style="104" customWidth="1"/>
    <col min="2572" max="2572" width="9.140625" style="104" bestFit="1" customWidth="1"/>
    <col min="2573" max="2573" width="10" style="104" customWidth="1"/>
    <col min="2574" max="2574" width="11.5703125" style="104" customWidth="1"/>
    <col min="2575" max="2810" width="9.140625" style="104"/>
    <col min="2811" max="2811" width="4.42578125" style="104" customWidth="1"/>
    <col min="2812" max="2812" width="7.85546875" style="104" customWidth="1"/>
    <col min="2813" max="2814" width="15.42578125" style="104" customWidth="1"/>
    <col min="2815" max="2815" width="14.5703125" style="104" customWidth="1"/>
    <col min="2816" max="2816" width="15.5703125" style="104" customWidth="1"/>
    <col min="2817" max="2818" width="16.85546875" style="104" customWidth="1"/>
    <col min="2819" max="2819" width="14.7109375" style="104" customWidth="1"/>
    <col min="2820" max="2820" width="12.85546875" style="104" customWidth="1"/>
    <col min="2821" max="2822" width="15" style="104" customWidth="1"/>
    <col min="2823" max="2823" width="7.28515625" style="104" customWidth="1"/>
    <col min="2824" max="2824" width="14.7109375" style="104" customWidth="1"/>
    <col min="2825" max="2825" width="13.7109375" style="104" customWidth="1"/>
    <col min="2826" max="2826" width="9.28515625" style="104" customWidth="1"/>
    <col min="2827" max="2827" width="12.42578125" style="104" customWidth="1"/>
    <col min="2828" max="2828" width="9.140625" style="104" bestFit="1" customWidth="1"/>
    <col min="2829" max="2829" width="10" style="104" customWidth="1"/>
    <col min="2830" max="2830" width="11.5703125" style="104" customWidth="1"/>
    <col min="2831" max="3066" width="9.140625" style="104"/>
    <col min="3067" max="3067" width="4.42578125" style="104" customWidth="1"/>
    <col min="3068" max="3068" width="7.85546875" style="104" customWidth="1"/>
    <col min="3069" max="3070" width="15.42578125" style="104" customWidth="1"/>
    <col min="3071" max="3071" width="14.5703125" style="104" customWidth="1"/>
    <col min="3072" max="3072" width="15.5703125" style="104" customWidth="1"/>
    <col min="3073" max="3074" width="16.85546875" style="104" customWidth="1"/>
    <col min="3075" max="3075" width="14.7109375" style="104" customWidth="1"/>
    <col min="3076" max="3076" width="12.85546875" style="104" customWidth="1"/>
    <col min="3077" max="3078" width="15" style="104" customWidth="1"/>
    <col min="3079" max="3079" width="7.28515625" style="104" customWidth="1"/>
    <col min="3080" max="3080" width="14.7109375" style="104" customWidth="1"/>
    <col min="3081" max="3081" width="13.7109375" style="104" customWidth="1"/>
    <col min="3082" max="3082" width="9.28515625" style="104" customWidth="1"/>
    <col min="3083" max="3083" width="12.42578125" style="104" customWidth="1"/>
    <col min="3084" max="3084" width="9.140625" style="104" bestFit="1" customWidth="1"/>
    <col min="3085" max="3085" width="10" style="104" customWidth="1"/>
    <col min="3086" max="3086" width="11.5703125" style="104" customWidth="1"/>
    <col min="3087" max="3322" width="9.140625" style="104"/>
    <col min="3323" max="3323" width="4.42578125" style="104" customWidth="1"/>
    <col min="3324" max="3324" width="7.85546875" style="104" customWidth="1"/>
    <col min="3325" max="3326" width="15.42578125" style="104" customWidth="1"/>
    <col min="3327" max="3327" width="14.5703125" style="104" customWidth="1"/>
    <col min="3328" max="3328" width="15.5703125" style="104" customWidth="1"/>
    <col min="3329" max="3330" width="16.85546875" style="104" customWidth="1"/>
    <col min="3331" max="3331" width="14.7109375" style="104" customWidth="1"/>
    <col min="3332" max="3332" width="12.85546875" style="104" customWidth="1"/>
    <col min="3333" max="3334" width="15" style="104" customWidth="1"/>
    <col min="3335" max="3335" width="7.28515625" style="104" customWidth="1"/>
    <col min="3336" max="3336" width="14.7109375" style="104" customWidth="1"/>
    <col min="3337" max="3337" width="13.7109375" style="104" customWidth="1"/>
    <col min="3338" max="3338" width="9.28515625" style="104" customWidth="1"/>
    <col min="3339" max="3339" width="12.42578125" style="104" customWidth="1"/>
    <col min="3340" max="3340" width="9.140625" style="104" bestFit="1" customWidth="1"/>
    <col min="3341" max="3341" width="10" style="104" customWidth="1"/>
    <col min="3342" max="3342" width="11.5703125" style="104" customWidth="1"/>
    <col min="3343" max="3578" width="9.140625" style="104"/>
    <col min="3579" max="3579" width="4.42578125" style="104" customWidth="1"/>
    <col min="3580" max="3580" width="7.85546875" style="104" customWidth="1"/>
    <col min="3581" max="3582" width="15.42578125" style="104" customWidth="1"/>
    <col min="3583" max="3583" width="14.5703125" style="104" customWidth="1"/>
    <col min="3584" max="3584" width="15.5703125" style="104" customWidth="1"/>
    <col min="3585" max="3586" width="16.85546875" style="104" customWidth="1"/>
    <col min="3587" max="3587" width="14.7109375" style="104" customWidth="1"/>
    <col min="3588" max="3588" width="12.85546875" style="104" customWidth="1"/>
    <col min="3589" max="3590" width="15" style="104" customWidth="1"/>
    <col min="3591" max="3591" width="7.28515625" style="104" customWidth="1"/>
    <col min="3592" max="3592" width="14.7109375" style="104" customWidth="1"/>
    <col min="3593" max="3593" width="13.7109375" style="104" customWidth="1"/>
    <col min="3594" max="3594" width="9.28515625" style="104" customWidth="1"/>
    <col min="3595" max="3595" width="12.42578125" style="104" customWidth="1"/>
    <col min="3596" max="3596" width="9.140625" style="104" bestFit="1" customWidth="1"/>
    <col min="3597" max="3597" width="10" style="104" customWidth="1"/>
    <col min="3598" max="3598" width="11.5703125" style="104" customWidth="1"/>
    <col min="3599" max="3834" width="9.140625" style="104"/>
    <col min="3835" max="3835" width="4.42578125" style="104" customWidth="1"/>
    <col min="3836" max="3836" width="7.85546875" style="104" customWidth="1"/>
    <col min="3837" max="3838" width="15.42578125" style="104" customWidth="1"/>
    <col min="3839" max="3839" width="14.5703125" style="104" customWidth="1"/>
    <col min="3840" max="3840" width="15.5703125" style="104" customWidth="1"/>
    <col min="3841" max="3842" width="16.85546875" style="104" customWidth="1"/>
    <col min="3843" max="3843" width="14.7109375" style="104" customWidth="1"/>
    <col min="3844" max="3844" width="12.85546875" style="104" customWidth="1"/>
    <col min="3845" max="3846" width="15" style="104" customWidth="1"/>
    <col min="3847" max="3847" width="7.28515625" style="104" customWidth="1"/>
    <col min="3848" max="3848" width="14.7109375" style="104" customWidth="1"/>
    <col min="3849" max="3849" width="13.7109375" style="104" customWidth="1"/>
    <col min="3850" max="3850" width="9.28515625" style="104" customWidth="1"/>
    <col min="3851" max="3851" width="12.42578125" style="104" customWidth="1"/>
    <col min="3852" max="3852" width="9.140625" style="104" bestFit="1" customWidth="1"/>
    <col min="3853" max="3853" width="10" style="104" customWidth="1"/>
    <col min="3854" max="3854" width="11.5703125" style="104" customWidth="1"/>
    <col min="3855" max="4090" width="9.140625" style="104"/>
    <col min="4091" max="4091" width="4.42578125" style="104" customWidth="1"/>
    <col min="4092" max="4092" width="7.85546875" style="104" customWidth="1"/>
    <col min="4093" max="4094" width="15.42578125" style="104" customWidth="1"/>
    <col min="4095" max="4095" width="14.5703125" style="104" customWidth="1"/>
    <col min="4096" max="4096" width="15.5703125" style="104" customWidth="1"/>
    <col min="4097" max="4098" width="16.85546875" style="104" customWidth="1"/>
    <col min="4099" max="4099" width="14.7109375" style="104" customWidth="1"/>
    <col min="4100" max="4100" width="12.85546875" style="104" customWidth="1"/>
    <col min="4101" max="4102" width="15" style="104" customWidth="1"/>
    <col min="4103" max="4103" width="7.28515625" style="104" customWidth="1"/>
    <col min="4104" max="4104" width="14.7109375" style="104" customWidth="1"/>
    <col min="4105" max="4105" width="13.7109375" style="104" customWidth="1"/>
    <col min="4106" max="4106" width="9.28515625" style="104" customWidth="1"/>
    <col min="4107" max="4107" width="12.42578125" style="104" customWidth="1"/>
    <col min="4108" max="4108" width="9.140625" style="104" bestFit="1" customWidth="1"/>
    <col min="4109" max="4109" width="10" style="104" customWidth="1"/>
    <col min="4110" max="4110" width="11.5703125" style="104" customWidth="1"/>
    <col min="4111" max="4346" width="9.140625" style="104"/>
    <col min="4347" max="4347" width="4.42578125" style="104" customWidth="1"/>
    <col min="4348" max="4348" width="7.85546875" style="104" customWidth="1"/>
    <col min="4349" max="4350" width="15.42578125" style="104" customWidth="1"/>
    <col min="4351" max="4351" width="14.5703125" style="104" customWidth="1"/>
    <col min="4352" max="4352" width="15.5703125" style="104" customWidth="1"/>
    <col min="4353" max="4354" width="16.85546875" style="104" customWidth="1"/>
    <col min="4355" max="4355" width="14.7109375" style="104" customWidth="1"/>
    <col min="4356" max="4356" width="12.85546875" style="104" customWidth="1"/>
    <col min="4357" max="4358" width="15" style="104" customWidth="1"/>
    <col min="4359" max="4359" width="7.28515625" style="104" customWidth="1"/>
    <col min="4360" max="4360" width="14.7109375" style="104" customWidth="1"/>
    <col min="4361" max="4361" width="13.7109375" style="104" customWidth="1"/>
    <col min="4362" max="4362" width="9.28515625" style="104" customWidth="1"/>
    <col min="4363" max="4363" width="12.42578125" style="104" customWidth="1"/>
    <col min="4364" max="4364" width="9.140625" style="104" bestFit="1" customWidth="1"/>
    <col min="4365" max="4365" width="10" style="104" customWidth="1"/>
    <col min="4366" max="4366" width="11.5703125" style="104" customWidth="1"/>
    <col min="4367" max="4602" width="9.140625" style="104"/>
    <col min="4603" max="4603" width="4.42578125" style="104" customWidth="1"/>
    <col min="4604" max="4604" width="7.85546875" style="104" customWidth="1"/>
    <col min="4605" max="4606" width="15.42578125" style="104" customWidth="1"/>
    <col min="4607" max="4607" width="14.5703125" style="104" customWidth="1"/>
    <col min="4608" max="4608" width="15.5703125" style="104" customWidth="1"/>
    <col min="4609" max="4610" width="16.85546875" style="104" customWidth="1"/>
    <col min="4611" max="4611" width="14.7109375" style="104" customWidth="1"/>
    <col min="4612" max="4612" width="12.85546875" style="104" customWidth="1"/>
    <col min="4613" max="4614" width="15" style="104" customWidth="1"/>
    <col min="4615" max="4615" width="7.28515625" style="104" customWidth="1"/>
    <col min="4616" max="4616" width="14.7109375" style="104" customWidth="1"/>
    <col min="4617" max="4617" width="13.7109375" style="104" customWidth="1"/>
    <col min="4618" max="4618" width="9.28515625" style="104" customWidth="1"/>
    <col min="4619" max="4619" width="12.42578125" style="104" customWidth="1"/>
    <col min="4620" max="4620" width="9.140625" style="104" bestFit="1" customWidth="1"/>
    <col min="4621" max="4621" width="10" style="104" customWidth="1"/>
    <col min="4622" max="4622" width="11.5703125" style="104" customWidth="1"/>
    <col min="4623" max="4858" width="9.140625" style="104"/>
    <col min="4859" max="4859" width="4.42578125" style="104" customWidth="1"/>
    <col min="4860" max="4860" width="7.85546875" style="104" customWidth="1"/>
    <col min="4861" max="4862" width="15.42578125" style="104" customWidth="1"/>
    <col min="4863" max="4863" width="14.5703125" style="104" customWidth="1"/>
    <col min="4864" max="4864" width="15.5703125" style="104" customWidth="1"/>
    <col min="4865" max="4866" width="16.85546875" style="104" customWidth="1"/>
    <col min="4867" max="4867" width="14.7109375" style="104" customWidth="1"/>
    <col min="4868" max="4868" width="12.85546875" style="104" customWidth="1"/>
    <col min="4869" max="4870" width="15" style="104" customWidth="1"/>
    <col min="4871" max="4871" width="7.28515625" style="104" customWidth="1"/>
    <col min="4872" max="4872" width="14.7109375" style="104" customWidth="1"/>
    <col min="4873" max="4873" width="13.7109375" style="104" customWidth="1"/>
    <col min="4874" max="4874" width="9.28515625" style="104" customWidth="1"/>
    <col min="4875" max="4875" width="12.42578125" style="104" customWidth="1"/>
    <col min="4876" max="4876" width="9.140625" style="104" bestFit="1" customWidth="1"/>
    <col min="4877" max="4877" width="10" style="104" customWidth="1"/>
    <col min="4878" max="4878" width="11.5703125" style="104" customWidth="1"/>
    <col min="4879" max="5114" width="9.140625" style="104"/>
    <col min="5115" max="5115" width="4.42578125" style="104" customWidth="1"/>
    <col min="5116" max="5116" width="7.85546875" style="104" customWidth="1"/>
    <col min="5117" max="5118" width="15.42578125" style="104" customWidth="1"/>
    <col min="5119" max="5119" width="14.5703125" style="104" customWidth="1"/>
    <col min="5120" max="5120" width="15.5703125" style="104" customWidth="1"/>
    <col min="5121" max="5122" width="16.85546875" style="104" customWidth="1"/>
    <col min="5123" max="5123" width="14.7109375" style="104" customWidth="1"/>
    <col min="5124" max="5124" width="12.85546875" style="104" customWidth="1"/>
    <col min="5125" max="5126" width="15" style="104" customWidth="1"/>
    <col min="5127" max="5127" width="7.28515625" style="104" customWidth="1"/>
    <col min="5128" max="5128" width="14.7109375" style="104" customWidth="1"/>
    <col min="5129" max="5129" width="13.7109375" style="104" customWidth="1"/>
    <col min="5130" max="5130" width="9.28515625" style="104" customWidth="1"/>
    <col min="5131" max="5131" width="12.42578125" style="104" customWidth="1"/>
    <col min="5132" max="5132" width="9.140625" style="104" bestFit="1" customWidth="1"/>
    <col min="5133" max="5133" width="10" style="104" customWidth="1"/>
    <col min="5134" max="5134" width="11.5703125" style="104" customWidth="1"/>
    <col min="5135" max="5370" width="9.140625" style="104"/>
    <col min="5371" max="5371" width="4.42578125" style="104" customWidth="1"/>
    <col min="5372" max="5372" width="7.85546875" style="104" customWidth="1"/>
    <col min="5373" max="5374" width="15.42578125" style="104" customWidth="1"/>
    <col min="5375" max="5375" width="14.5703125" style="104" customWidth="1"/>
    <col min="5376" max="5376" width="15.5703125" style="104" customWidth="1"/>
    <col min="5377" max="5378" width="16.85546875" style="104" customWidth="1"/>
    <col min="5379" max="5379" width="14.7109375" style="104" customWidth="1"/>
    <col min="5380" max="5380" width="12.85546875" style="104" customWidth="1"/>
    <col min="5381" max="5382" width="15" style="104" customWidth="1"/>
    <col min="5383" max="5383" width="7.28515625" style="104" customWidth="1"/>
    <col min="5384" max="5384" width="14.7109375" style="104" customWidth="1"/>
    <col min="5385" max="5385" width="13.7109375" style="104" customWidth="1"/>
    <col min="5386" max="5386" width="9.28515625" style="104" customWidth="1"/>
    <col min="5387" max="5387" width="12.42578125" style="104" customWidth="1"/>
    <col min="5388" max="5388" width="9.140625" style="104" bestFit="1" customWidth="1"/>
    <col min="5389" max="5389" width="10" style="104" customWidth="1"/>
    <col min="5390" max="5390" width="11.5703125" style="104" customWidth="1"/>
    <col min="5391" max="5626" width="9.140625" style="104"/>
    <col min="5627" max="5627" width="4.42578125" style="104" customWidth="1"/>
    <col min="5628" max="5628" width="7.85546875" style="104" customWidth="1"/>
    <col min="5629" max="5630" width="15.42578125" style="104" customWidth="1"/>
    <col min="5631" max="5631" width="14.5703125" style="104" customWidth="1"/>
    <col min="5632" max="5632" width="15.5703125" style="104" customWidth="1"/>
    <col min="5633" max="5634" width="16.85546875" style="104" customWidth="1"/>
    <col min="5635" max="5635" width="14.7109375" style="104" customWidth="1"/>
    <col min="5636" max="5636" width="12.85546875" style="104" customWidth="1"/>
    <col min="5637" max="5638" width="15" style="104" customWidth="1"/>
    <col min="5639" max="5639" width="7.28515625" style="104" customWidth="1"/>
    <col min="5640" max="5640" width="14.7109375" style="104" customWidth="1"/>
    <col min="5641" max="5641" width="13.7109375" style="104" customWidth="1"/>
    <col min="5642" max="5642" width="9.28515625" style="104" customWidth="1"/>
    <col min="5643" max="5643" width="12.42578125" style="104" customWidth="1"/>
    <col min="5644" max="5644" width="9.140625" style="104" bestFit="1" customWidth="1"/>
    <col min="5645" max="5645" width="10" style="104" customWidth="1"/>
    <col min="5646" max="5646" width="11.5703125" style="104" customWidth="1"/>
    <col min="5647" max="5882" width="9.140625" style="104"/>
    <col min="5883" max="5883" width="4.42578125" style="104" customWidth="1"/>
    <col min="5884" max="5884" width="7.85546875" style="104" customWidth="1"/>
    <col min="5885" max="5886" width="15.42578125" style="104" customWidth="1"/>
    <col min="5887" max="5887" width="14.5703125" style="104" customWidth="1"/>
    <col min="5888" max="5888" width="15.5703125" style="104" customWidth="1"/>
    <col min="5889" max="5890" width="16.85546875" style="104" customWidth="1"/>
    <col min="5891" max="5891" width="14.7109375" style="104" customWidth="1"/>
    <col min="5892" max="5892" width="12.85546875" style="104" customWidth="1"/>
    <col min="5893" max="5894" width="15" style="104" customWidth="1"/>
    <col min="5895" max="5895" width="7.28515625" style="104" customWidth="1"/>
    <col min="5896" max="5896" width="14.7109375" style="104" customWidth="1"/>
    <col min="5897" max="5897" width="13.7109375" style="104" customWidth="1"/>
    <col min="5898" max="5898" width="9.28515625" style="104" customWidth="1"/>
    <col min="5899" max="5899" width="12.42578125" style="104" customWidth="1"/>
    <col min="5900" max="5900" width="9.140625" style="104" bestFit="1" customWidth="1"/>
    <col min="5901" max="5901" width="10" style="104" customWidth="1"/>
    <col min="5902" max="5902" width="11.5703125" style="104" customWidth="1"/>
    <col min="5903" max="6138" width="9.140625" style="104"/>
    <col min="6139" max="6139" width="4.42578125" style="104" customWidth="1"/>
    <col min="6140" max="6140" width="7.85546875" style="104" customWidth="1"/>
    <col min="6141" max="6142" width="15.42578125" style="104" customWidth="1"/>
    <col min="6143" max="6143" width="14.5703125" style="104" customWidth="1"/>
    <col min="6144" max="6144" width="15.5703125" style="104" customWidth="1"/>
    <col min="6145" max="6146" width="16.85546875" style="104" customWidth="1"/>
    <col min="6147" max="6147" width="14.7109375" style="104" customWidth="1"/>
    <col min="6148" max="6148" width="12.85546875" style="104" customWidth="1"/>
    <col min="6149" max="6150" width="15" style="104" customWidth="1"/>
    <col min="6151" max="6151" width="7.28515625" style="104" customWidth="1"/>
    <col min="6152" max="6152" width="14.7109375" style="104" customWidth="1"/>
    <col min="6153" max="6153" width="13.7109375" style="104" customWidth="1"/>
    <col min="6154" max="6154" width="9.28515625" style="104" customWidth="1"/>
    <col min="6155" max="6155" width="12.42578125" style="104" customWidth="1"/>
    <col min="6156" max="6156" width="9.140625" style="104" bestFit="1" customWidth="1"/>
    <col min="6157" max="6157" width="10" style="104" customWidth="1"/>
    <col min="6158" max="6158" width="11.5703125" style="104" customWidth="1"/>
    <col min="6159" max="6394" width="9.140625" style="104"/>
    <col min="6395" max="6395" width="4.42578125" style="104" customWidth="1"/>
    <col min="6396" max="6396" width="7.85546875" style="104" customWidth="1"/>
    <col min="6397" max="6398" width="15.42578125" style="104" customWidth="1"/>
    <col min="6399" max="6399" width="14.5703125" style="104" customWidth="1"/>
    <col min="6400" max="6400" width="15.5703125" style="104" customWidth="1"/>
    <col min="6401" max="6402" width="16.85546875" style="104" customWidth="1"/>
    <col min="6403" max="6403" width="14.7109375" style="104" customWidth="1"/>
    <col min="6404" max="6404" width="12.85546875" style="104" customWidth="1"/>
    <col min="6405" max="6406" width="15" style="104" customWidth="1"/>
    <col min="6407" max="6407" width="7.28515625" style="104" customWidth="1"/>
    <col min="6408" max="6408" width="14.7109375" style="104" customWidth="1"/>
    <col min="6409" max="6409" width="13.7109375" style="104" customWidth="1"/>
    <col min="6410" max="6410" width="9.28515625" style="104" customWidth="1"/>
    <col min="6411" max="6411" width="12.42578125" style="104" customWidth="1"/>
    <col min="6412" max="6412" width="9.140625" style="104" bestFit="1" customWidth="1"/>
    <col min="6413" max="6413" width="10" style="104" customWidth="1"/>
    <col min="6414" max="6414" width="11.5703125" style="104" customWidth="1"/>
    <col min="6415" max="6650" width="9.140625" style="104"/>
    <col min="6651" max="6651" width="4.42578125" style="104" customWidth="1"/>
    <col min="6652" max="6652" width="7.85546875" style="104" customWidth="1"/>
    <col min="6653" max="6654" width="15.42578125" style="104" customWidth="1"/>
    <col min="6655" max="6655" width="14.5703125" style="104" customWidth="1"/>
    <col min="6656" max="6656" width="15.5703125" style="104" customWidth="1"/>
    <col min="6657" max="6658" width="16.85546875" style="104" customWidth="1"/>
    <col min="6659" max="6659" width="14.7109375" style="104" customWidth="1"/>
    <col min="6660" max="6660" width="12.85546875" style="104" customWidth="1"/>
    <col min="6661" max="6662" width="15" style="104" customWidth="1"/>
    <col min="6663" max="6663" width="7.28515625" style="104" customWidth="1"/>
    <col min="6664" max="6664" width="14.7109375" style="104" customWidth="1"/>
    <col min="6665" max="6665" width="13.7109375" style="104" customWidth="1"/>
    <col min="6666" max="6666" width="9.28515625" style="104" customWidth="1"/>
    <col min="6667" max="6667" width="12.42578125" style="104" customWidth="1"/>
    <col min="6668" max="6668" width="9.140625" style="104" bestFit="1" customWidth="1"/>
    <col min="6669" max="6669" width="10" style="104" customWidth="1"/>
    <col min="6670" max="6670" width="11.5703125" style="104" customWidth="1"/>
    <col min="6671" max="6906" width="9.140625" style="104"/>
    <col min="6907" max="6907" width="4.42578125" style="104" customWidth="1"/>
    <col min="6908" max="6908" width="7.85546875" style="104" customWidth="1"/>
    <col min="6909" max="6910" width="15.42578125" style="104" customWidth="1"/>
    <col min="6911" max="6911" width="14.5703125" style="104" customWidth="1"/>
    <col min="6912" max="6912" width="15.5703125" style="104" customWidth="1"/>
    <col min="6913" max="6914" width="16.85546875" style="104" customWidth="1"/>
    <col min="6915" max="6915" width="14.7109375" style="104" customWidth="1"/>
    <col min="6916" max="6916" width="12.85546875" style="104" customWidth="1"/>
    <col min="6917" max="6918" width="15" style="104" customWidth="1"/>
    <col min="6919" max="6919" width="7.28515625" style="104" customWidth="1"/>
    <col min="6920" max="6920" width="14.7109375" style="104" customWidth="1"/>
    <col min="6921" max="6921" width="13.7109375" style="104" customWidth="1"/>
    <col min="6922" max="6922" width="9.28515625" style="104" customWidth="1"/>
    <col min="6923" max="6923" width="12.42578125" style="104" customWidth="1"/>
    <col min="6924" max="6924" width="9.140625" style="104" bestFit="1" customWidth="1"/>
    <col min="6925" max="6925" width="10" style="104" customWidth="1"/>
    <col min="6926" max="6926" width="11.5703125" style="104" customWidth="1"/>
    <col min="6927" max="7162" width="9.140625" style="104"/>
    <col min="7163" max="7163" width="4.42578125" style="104" customWidth="1"/>
    <col min="7164" max="7164" width="7.85546875" style="104" customWidth="1"/>
    <col min="7165" max="7166" width="15.42578125" style="104" customWidth="1"/>
    <col min="7167" max="7167" width="14.5703125" style="104" customWidth="1"/>
    <col min="7168" max="7168" width="15.5703125" style="104" customWidth="1"/>
    <col min="7169" max="7170" width="16.85546875" style="104" customWidth="1"/>
    <col min="7171" max="7171" width="14.7109375" style="104" customWidth="1"/>
    <col min="7172" max="7172" width="12.85546875" style="104" customWidth="1"/>
    <col min="7173" max="7174" width="15" style="104" customWidth="1"/>
    <col min="7175" max="7175" width="7.28515625" style="104" customWidth="1"/>
    <col min="7176" max="7176" width="14.7109375" style="104" customWidth="1"/>
    <col min="7177" max="7177" width="13.7109375" style="104" customWidth="1"/>
    <col min="7178" max="7178" width="9.28515625" style="104" customWidth="1"/>
    <col min="7179" max="7179" width="12.42578125" style="104" customWidth="1"/>
    <col min="7180" max="7180" width="9.140625" style="104" bestFit="1" customWidth="1"/>
    <col min="7181" max="7181" width="10" style="104" customWidth="1"/>
    <col min="7182" max="7182" width="11.5703125" style="104" customWidth="1"/>
    <col min="7183" max="7418" width="9.140625" style="104"/>
    <col min="7419" max="7419" width="4.42578125" style="104" customWidth="1"/>
    <col min="7420" max="7420" width="7.85546875" style="104" customWidth="1"/>
    <col min="7421" max="7422" width="15.42578125" style="104" customWidth="1"/>
    <col min="7423" max="7423" width="14.5703125" style="104" customWidth="1"/>
    <col min="7424" max="7424" width="15.5703125" style="104" customWidth="1"/>
    <col min="7425" max="7426" width="16.85546875" style="104" customWidth="1"/>
    <col min="7427" max="7427" width="14.7109375" style="104" customWidth="1"/>
    <col min="7428" max="7428" width="12.85546875" style="104" customWidth="1"/>
    <col min="7429" max="7430" width="15" style="104" customWidth="1"/>
    <col min="7431" max="7431" width="7.28515625" style="104" customWidth="1"/>
    <col min="7432" max="7432" width="14.7109375" style="104" customWidth="1"/>
    <col min="7433" max="7433" width="13.7109375" style="104" customWidth="1"/>
    <col min="7434" max="7434" width="9.28515625" style="104" customWidth="1"/>
    <col min="7435" max="7435" width="12.42578125" style="104" customWidth="1"/>
    <col min="7436" max="7436" width="9.140625" style="104" bestFit="1" customWidth="1"/>
    <col min="7437" max="7437" width="10" style="104" customWidth="1"/>
    <col min="7438" max="7438" width="11.5703125" style="104" customWidth="1"/>
    <col min="7439" max="7674" width="9.140625" style="104"/>
    <col min="7675" max="7675" width="4.42578125" style="104" customWidth="1"/>
    <col min="7676" max="7676" width="7.85546875" style="104" customWidth="1"/>
    <col min="7677" max="7678" width="15.42578125" style="104" customWidth="1"/>
    <col min="7679" max="7679" width="14.5703125" style="104" customWidth="1"/>
    <col min="7680" max="7680" width="15.5703125" style="104" customWidth="1"/>
    <col min="7681" max="7682" width="16.85546875" style="104" customWidth="1"/>
    <col min="7683" max="7683" width="14.7109375" style="104" customWidth="1"/>
    <col min="7684" max="7684" width="12.85546875" style="104" customWidth="1"/>
    <col min="7685" max="7686" width="15" style="104" customWidth="1"/>
    <col min="7687" max="7687" width="7.28515625" style="104" customWidth="1"/>
    <col min="7688" max="7688" width="14.7109375" style="104" customWidth="1"/>
    <col min="7689" max="7689" width="13.7109375" style="104" customWidth="1"/>
    <col min="7690" max="7690" width="9.28515625" style="104" customWidth="1"/>
    <col min="7691" max="7691" width="12.42578125" style="104" customWidth="1"/>
    <col min="7692" max="7692" width="9.140625" style="104" bestFit="1" customWidth="1"/>
    <col min="7693" max="7693" width="10" style="104" customWidth="1"/>
    <col min="7694" max="7694" width="11.5703125" style="104" customWidth="1"/>
    <col min="7695" max="7930" width="9.140625" style="104"/>
    <col min="7931" max="7931" width="4.42578125" style="104" customWidth="1"/>
    <col min="7932" max="7932" width="7.85546875" style="104" customWidth="1"/>
    <col min="7933" max="7934" width="15.42578125" style="104" customWidth="1"/>
    <col min="7935" max="7935" width="14.5703125" style="104" customWidth="1"/>
    <col min="7936" max="7936" width="15.5703125" style="104" customWidth="1"/>
    <col min="7937" max="7938" width="16.85546875" style="104" customWidth="1"/>
    <col min="7939" max="7939" width="14.7109375" style="104" customWidth="1"/>
    <col min="7940" max="7940" width="12.85546875" style="104" customWidth="1"/>
    <col min="7941" max="7942" width="15" style="104" customWidth="1"/>
    <col min="7943" max="7943" width="7.28515625" style="104" customWidth="1"/>
    <col min="7944" max="7944" width="14.7109375" style="104" customWidth="1"/>
    <col min="7945" max="7945" width="13.7109375" style="104" customWidth="1"/>
    <col min="7946" max="7946" width="9.28515625" style="104" customWidth="1"/>
    <col min="7947" max="7947" width="12.42578125" style="104" customWidth="1"/>
    <col min="7948" max="7948" width="9.140625" style="104" bestFit="1" customWidth="1"/>
    <col min="7949" max="7949" width="10" style="104" customWidth="1"/>
    <col min="7950" max="7950" width="11.5703125" style="104" customWidth="1"/>
    <col min="7951" max="8186" width="9.140625" style="104"/>
    <col min="8187" max="8187" width="4.42578125" style="104" customWidth="1"/>
    <col min="8188" max="8188" width="7.85546875" style="104" customWidth="1"/>
    <col min="8189" max="8190" width="15.42578125" style="104" customWidth="1"/>
    <col min="8191" max="8191" width="14.5703125" style="104" customWidth="1"/>
    <col min="8192" max="8192" width="15.5703125" style="104" customWidth="1"/>
    <col min="8193" max="8194" width="16.85546875" style="104" customWidth="1"/>
    <col min="8195" max="8195" width="14.7109375" style="104" customWidth="1"/>
    <col min="8196" max="8196" width="12.85546875" style="104" customWidth="1"/>
    <col min="8197" max="8198" width="15" style="104" customWidth="1"/>
    <col min="8199" max="8199" width="7.28515625" style="104" customWidth="1"/>
    <col min="8200" max="8200" width="14.7109375" style="104" customWidth="1"/>
    <col min="8201" max="8201" width="13.7109375" style="104" customWidth="1"/>
    <col min="8202" max="8202" width="9.28515625" style="104" customWidth="1"/>
    <col min="8203" max="8203" width="12.42578125" style="104" customWidth="1"/>
    <col min="8204" max="8204" width="9.140625" style="104" bestFit="1" customWidth="1"/>
    <col min="8205" max="8205" width="10" style="104" customWidth="1"/>
    <col min="8206" max="8206" width="11.5703125" style="104" customWidth="1"/>
    <col min="8207" max="8442" width="9.140625" style="104"/>
    <col min="8443" max="8443" width="4.42578125" style="104" customWidth="1"/>
    <col min="8444" max="8444" width="7.85546875" style="104" customWidth="1"/>
    <col min="8445" max="8446" width="15.42578125" style="104" customWidth="1"/>
    <col min="8447" max="8447" width="14.5703125" style="104" customWidth="1"/>
    <col min="8448" max="8448" width="15.5703125" style="104" customWidth="1"/>
    <col min="8449" max="8450" width="16.85546875" style="104" customWidth="1"/>
    <col min="8451" max="8451" width="14.7109375" style="104" customWidth="1"/>
    <col min="8452" max="8452" width="12.85546875" style="104" customWidth="1"/>
    <col min="8453" max="8454" width="15" style="104" customWidth="1"/>
    <col min="8455" max="8455" width="7.28515625" style="104" customWidth="1"/>
    <col min="8456" max="8456" width="14.7109375" style="104" customWidth="1"/>
    <col min="8457" max="8457" width="13.7109375" style="104" customWidth="1"/>
    <col min="8458" max="8458" width="9.28515625" style="104" customWidth="1"/>
    <col min="8459" max="8459" width="12.42578125" style="104" customWidth="1"/>
    <col min="8460" max="8460" width="9.140625" style="104" bestFit="1" customWidth="1"/>
    <col min="8461" max="8461" width="10" style="104" customWidth="1"/>
    <col min="8462" max="8462" width="11.5703125" style="104" customWidth="1"/>
    <col min="8463" max="8698" width="9.140625" style="104"/>
    <col min="8699" max="8699" width="4.42578125" style="104" customWidth="1"/>
    <col min="8700" max="8700" width="7.85546875" style="104" customWidth="1"/>
    <col min="8701" max="8702" width="15.42578125" style="104" customWidth="1"/>
    <col min="8703" max="8703" width="14.5703125" style="104" customWidth="1"/>
    <col min="8704" max="8704" width="15.5703125" style="104" customWidth="1"/>
    <col min="8705" max="8706" width="16.85546875" style="104" customWidth="1"/>
    <col min="8707" max="8707" width="14.7109375" style="104" customWidth="1"/>
    <col min="8708" max="8708" width="12.85546875" style="104" customWidth="1"/>
    <col min="8709" max="8710" width="15" style="104" customWidth="1"/>
    <col min="8711" max="8711" width="7.28515625" style="104" customWidth="1"/>
    <col min="8712" max="8712" width="14.7109375" style="104" customWidth="1"/>
    <col min="8713" max="8713" width="13.7109375" style="104" customWidth="1"/>
    <col min="8714" max="8714" width="9.28515625" style="104" customWidth="1"/>
    <col min="8715" max="8715" width="12.42578125" style="104" customWidth="1"/>
    <col min="8716" max="8716" width="9.140625" style="104" bestFit="1" customWidth="1"/>
    <col min="8717" max="8717" width="10" style="104" customWidth="1"/>
    <col min="8718" max="8718" width="11.5703125" style="104" customWidth="1"/>
    <col min="8719" max="8954" width="9.140625" style="104"/>
    <col min="8955" max="8955" width="4.42578125" style="104" customWidth="1"/>
    <col min="8956" max="8956" width="7.85546875" style="104" customWidth="1"/>
    <col min="8957" max="8958" width="15.42578125" style="104" customWidth="1"/>
    <col min="8959" max="8959" width="14.5703125" style="104" customWidth="1"/>
    <col min="8960" max="8960" width="15.5703125" style="104" customWidth="1"/>
    <col min="8961" max="8962" width="16.85546875" style="104" customWidth="1"/>
    <col min="8963" max="8963" width="14.7109375" style="104" customWidth="1"/>
    <col min="8964" max="8964" width="12.85546875" style="104" customWidth="1"/>
    <col min="8965" max="8966" width="15" style="104" customWidth="1"/>
    <col min="8967" max="8967" width="7.28515625" style="104" customWidth="1"/>
    <col min="8968" max="8968" width="14.7109375" style="104" customWidth="1"/>
    <col min="8969" max="8969" width="13.7109375" style="104" customWidth="1"/>
    <col min="8970" max="8970" width="9.28515625" style="104" customWidth="1"/>
    <col min="8971" max="8971" width="12.42578125" style="104" customWidth="1"/>
    <col min="8972" max="8972" width="9.140625" style="104" bestFit="1" customWidth="1"/>
    <col min="8973" max="8973" width="10" style="104" customWidth="1"/>
    <col min="8974" max="8974" width="11.5703125" style="104" customWidth="1"/>
    <col min="8975" max="9210" width="9.140625" style="104"/>
    <col min="9211" max="9211" width="4.42578125" style="104" customWidth="1"/>
    <col min="9212" max="9212" width="7.85546875" style="104" customWidth="1"/>
    <col min="9213" max="9214" width="15.42578125" style="104" customWidth="1"/>
    <col min="9215" max="9215" width="14.5703125" style="104" customWidth="1"/>
    <col min="9216" max="9216" width="15.5703125" style="104" customWidth="1"/>
    <col min="9217" max="9218" width="16.85546875" style="104" customWidth="1"/>
    <col min="9219" max="9219" width="14.7109375" style="104" customWidth="1"/>
    <col min="9220" max="9220" width="12.85546875" style="104" customWidth="1"/>
    <col min="9221" max="9222" width="15" style="104" customWidth="1"/>
    <col min="9223" max="9223" width="7.28515625" style="104" customWidth="1"/>
    <col min="9224" max="9224" width="14.7109375" style="104" customWidth="1"/>
    <col min="9225" max="9225" width="13.7109375" style="104" customWidth="1"/>
    <col min="9226" max="9226" width="9.28515625" style="104" customWidth="1"/>
    <col min="9227" max="9227" width="12.42578125" style="104" customWidth="1"/>
    <col min="9228" max="9228" width="9.140625" style="104" bestFit="1" customWidth="1"/>
    <col min="9229" max="9229" width="10" style="104" customWidth="1"/>
    <col min="9230" max="9230" width="11.5703125" style="104" customWidth="1"/>
    <col min="9231" max="9466" width="9.140625" style="104"/>
    <col min="9467" max="9467" width="4.42578125" style="104" customWidth="1"/>
    <col min="9468" max="9468" width="7.85546875" style="104" customWidth="1"/>
    <col min="9469" max="9470" width="15.42578125" style="104" customWidth="1"/>
    <col min="9471" max="9471" width="14.5703125" style="104" customWidth="1"/>
    <col min="9472" max="9472" width="15.5703125" style="104" customWidth="1"/>
    <col min="9473" max="9474" width="16.85546875" style="104" customWidth="1"/>
    <col min="9475" max="9475" width="14.7109375" style="104" customWidth="1"/>
    <col min="9476" max="9476" width="12.85546875" style="104" customWidth="1"/>
    <col min="9477" max="9478" width="15" style="104" customWidth="1"/>
    <col min="9479" max="9479" width="7.28515625" style="104" customWidth="1"/>
    <col min="9480" max="9480" width="14.7109375" style="104" customWidth="1"/>
    <col min="9481" max="9481" width="13.7109375" style="104" customWidth="1"/>
    <col min="9482" max="9482" width="9.28515625" style="104" customWidth="1"/>
    <col min="9483" max="9483" width="12.42578125" style="104" customWidth="1"/>
    <col min="9484" max="9484" width="9.140625" style="104" bestFit="1" customWidth="1"/>
    <col min="9485" max="9485" width="10" style="104" customWidth="1"/>
    <col min="9486" max="9486" width="11.5703125" style="104" customWidth="1"/>
    <col min="9487" max="9722" width="9.140625" style="104"/>
    <col min="9723" max="9723" width="4.42578125" style="104" customWidth="1"/>
    <col min="9724" max="9724" width="7.85546875" style="104" customWidth="1"/>
    <col min="9725" max="9726" width="15.42578125" style="104" customWidth="1"/>
    <col min="9727" max="9727" width="14.5703125" style="104" customWidth="1"/>
    <col min="9728" max="9728" width="15.5703125" style="104" customWidth="1"/>
    <col min="9729" max="9730" width="16.85546875" style="104" customWidth="1"/>
    <col min="9731" max="9731" width="14.7109375" style="104" customWidth="1"/>
    <col min="9732" max="9732" width="12.85546875" style="104" customWidth="1"/>
    <col min="9733" max="9734" width="15" style="104" customWidth="1"/>
    <col min="9735" max="9735" width="7.28515625" style="104" customWidth="1"/>
    <col min="9736" max="9736" width="14.7109375" style="104" customWidth="1"/>
    <col min="9737" max="9737" width="13.7109375" style="104" customWidth="1"/>
    <col min="9738" max="9738" width="9.28515625" style="104" customWidth="1"/>
    <col min="9739" max="9739" width="12.42578125" style="104" customWidth="1"/>
    <col min="9740" max="9740" width="9.140625" style="104" bestFit="1" customWidth="1"/>
    <col min="9741" max="9741" width="10" style="104" customWidth="1"/>
    <col min="9742" max="9742" width="11.5703125" style="104" customWidth="1"/>
    <col min="9743" max="9978" width="9.140625" style="104"/>
    <col min="9979" max="9979" width="4.42578125" style="104" customWidth="1"/>
    <col min="9980" max="9980" width="7.85546875" style="104" customWidth="1"/>
    <col min="9981" max="9982" width="15.42578125" style="104" customWidth="1"/>
    <col min="9983" max="9983" width="14.5703125" style="104" customWidth="1"/>
    <col min="9984" max="9984" width="15.5703125" style="104" customWidth="1"/>
    <col min="9985" max="9986" width="16.85546875" style="104" customWidth="1"/>
    <col min="9987" max="9987" width="14.7109375" style="104" customWidth="1"/>
    <col min="9988" max="9988" width="12.85546875" style="104" customWidth="1"/>
    <col min="9989" max="9990" width="15" style="104" customWidth="1"/>
    <col min="9991" max="9991" width="7.28515625" style="104" customWidth="1"/>
    <col min="9992" max="9992" width="14.7109375" style="104" customWidth="1"/>
    <col min="9993" max="9993" width="13.7109375" style="104" customWidth="1"/>
    <col min="9994" max="9994" width="9.28515625" style="104" customWidth="1"/>
    <col min="9995" max="9995" width="12.42578125" style="104" customWidth="1"/>
    <col min="9996" max="9996" width="9.140625" style="104" bestFit="1" customWidth="1"/>
    <col min="9997" max="9997" width="10" style="104" customWidth="1"/>
    <col min="9998" max="9998" width="11.5703125" style="104" customWidth="1"/>
    <col min="9999" max="10234" width="9.140625" style="104"/>
    <col min="10235" max="10235" width="4.42578125" style="104" customWidth="1"/>
    <col min="10236" max="10236" width="7.85546875" style="104" customWidth="1"/>
    <col min="10237" max="10238" width="15.42578125" style="104" customWidth="1"/>
    <col min="10239" max="10239" width="14.5703125" style="104" customWidth="1"/>
    <col min="10240" max="10240" width="15.5703125" style="104" customWidth="1"/>
    <col min="10241" max="10242" width="16.85546875" style="104" customWidth="1"/>
    <col min="10243" max="10243" width="14.7109375" style="104" customWidth="1"/>
    <col min="10244" max="10244" width="12.85546875" style="104" customWidth="1"/>
    <col min="10245" max="10246" width="15" style="104" customWidth="1"/>
    <col min="10247" max="10247" width="7.28515625" style="104" customWidth="1"/>
    <col min="10248" max="10248" width="14.7109375" style="104" customWidth="1"/>
    <col min="10249" max="10249" width="13.7109375" style="104" customWidth="1"/>
    <col min="10250" max="10250" width="9.28515625" style="104" customWidth="1"/>
    <col min="10251" max="10251" width="12.42578125" style="104" customWidth="1"/>
    <col min="10252" max="10252" width="9.140625" style="104" bestFit="1" customWidth="1"/>
    <col min="10253" max="10253" width="10" style="104" customWidth="1"/>
    <col min="10254" max="10254" width="11.5703125" style="104" customWidth="1"/>
    <col min="10255" max="10490" width="9.140625" style="104"/>
    <col min="10491" max="10491" width="4.42578125" style="104" customWidth="1"/>
    <col min="10492" max="10492" width="7.85546875" style="104" customWidth="1"/>
    <col min="10493" max="10494" width="15.42578125" style="104" customWidth="1"/>
    <col min="10495" max="10495" width="14.5703125" style="104" customWidth="1"/>
    <col min="10496" max="10496" width="15.5703125" style="104" customWidth="1"/>
    <col min="10497" max="10498" width="16.85546875" style="104" customWidth="1"/>
    <col min="10499" max="10499" width="14.7109375" style="104" customWidth="1"/>
    <col min="10500" max="10500" width="12.85546875" style="104" customWidth="1"/>
    <col min="10501" max="10502" width="15" style="104" customWidth="1"/>
    <col min="10503" max="10503" width="7.28515625" style="104" customWidth="1"/>
    <col min="10504" max="10504" width="14.7109375" style="104" customWidth="1"/>
    <col min="10505" max="10505" width="13.7109375" style="104" customWidth="1"/>
    <col min="10506" max="10506" width="9.28515625" style="104" customWidth="1"/>
    <col min="10507" max="10507" width="12.42578125" style="104" customWidth="1"/>
    <col min="10508" max="10508" width="9.140625" style="104" bestFit="1" customWidth="1"/>
    <col min="10509" max="10509" width="10" style="104" customWidth="1"/>
    <col min="10510" max="10510" width="11.5703125" style="104" customWidth="1"/>
    <col min="10511" max="10746" width="9.140625" style="104"/>
    <col min="10747" max="10747" width="4.42578125" style="104" customWidth="1"/>
    <col min="10748" max="10748" width="7.85546875" style="104" customWidth="1"/>
    <col min="10749" max="10750" width="15.42578125" style="104" customWidth="1"/>
    <col min="10751" max="10751" width="14.5703125" style="104" customWidth="1"/>
    <col min="10752" max="10752" width="15.5703125" style="104" customWidth="1"/>
    <col min="10753" max="10754" width="16.85546875" style="104" customWidth="1"/>
    <col min="10755" max="10755" width="14.7109375" style="104" customWidth="1"/>
    <col min="10756" max="10756" width="12.85546875" style="104" customWidth="1"/>
    <col min="10757" max="10758" width="15" style="104" customWidth="1"/>
    <col min="10759" max="10759" width="7.28515625" style="104" customWidth="1"/>
    <col min="10760" max="10760" width="14.7109375" style="104" customWidth="1"/>
    <col min="10761" max="10761" width="13.7109375" style="104" customWidth="1"/>
    <col min="10762" max="10762" width="9.28515625" style="104" customWidth="1"/>
    <col min="10763" max="10763" width="12.42578125" style="104" customWidth="1"/>
    <col min="10764" max="10764" width="9.140625" style="104" bestFit="1" customWidth="1"/>
    <col min="10765" max="10765" width="10" style="104" customWidth="1"/>
    <col min="10766" max="10766" width="11.5703125" style="104" customWidth="1"/>
    <col min="10767" max="11002" width="9.140625" style="104"/>
    <col min="11003" max="11003" width="4.42578125" style="104" customWidth="1"/>
    <col min="11004" max="11004" width="7.85546875" style="104" customWidth="1"/>
    <col min="11005" max="11006" width="15.42578125" style="104" customWidth="1"/>
    <col min="11007" max="11007" width="14.5703125" style="104" customWidth="1"/>
    <col min="11008" max="11008" width="15.5703125" style="104" customWidth="1"/>
    <col min="11009" max="11010" width="16.85546875" style="104" customWidth="1"/>
    <col min="11011" max="11011" width="14.7109375" style="104" customWidth="1"/>
    <col min="11012" max="11012" width="12.85546875" style="104" customWidth="1"/>
    <col min="11013" max="11014" width="15" style="104" customWidth="1"/>
    <col min="11015" max="11015" width="7.28515625" style="104" customWidth="1"/>
    <col min="11016" max="11016" width="14.7109375" style="104" customWidth="1"/>
    <col min="11017" max="11017" width="13.7109375" style="104" customWidth="1"/>
    <col min="11018" max="11018" width="9.28515625" style="104" customWidth="1"/>
    <col min="11019" max="11019" width="12.42578125" style="104" customWidth="1"/>
    <col min="11020" max="11020" width="9.140625" style="104" bestFit="1" customWidth="1"/>
    <col min="11021" max="11021" width="10" style="104" customWidth="1"/>
    <col min="11022" max="11022" width="11.5703125" style="104" customWidth="1"/>
    <col min="11023" max="11258" width="9.140625" style="104"/>
    <col min="11259" max="11259" width="4.42578125" style="104" customWidth="1"/>
    <col min="11260" max="11260" width="7.85546875" style="104" customWidth="1"/>
    <col min="11261" max="11262" width="15.42578125" style="104" customWidth="1"/>
    <col min="11263" max="11263" width="14.5703125" style="104" customWidth="1"/>
    <col min="11264" max="11264" width="15.5703125" style="104" customWidth="1"/>
    <col min="11265" max="11266" width="16.85546875" style="104" customWidth="1"/>
    <col min="11267" max="11267" width="14.7109375" style="104" customWidth="1"/>
    <col min="11268" max="11268" width="12.85546875" style="104" customWidth="1"/>
    <col min="11269" max="11270" width="15" style="104" customWidth="1"/>
    <col min="11271" max="11271" width="7.28515625" style="104" customWidth="1"/>
    <col min="11272" max="11272" width="14.7109375" style="104" customWidth="1"/>
    <col min="11273" max="11273" width="13.7109375" style="104" customWidth="1"/>
    <col min="11274" max="11274" width="9.28515625" style="104" customWidth="1"/>
    <col min="11275" max="11275" width="12.42578125" style="104" customWidth="1"/>
    <col min="11276" max="11276" width="9.140625" style="104" bestFit="1" customWidth="1"/>
    <col min="11277" max="11277" width="10" style="104" customWidth="1"/>
    <col min="11278" max="11278" width="11.5703125" style="104" customWidth="1"/>
    <col min="11279" max="11514" width="9.140625" style="104"/>
    <col min="11515" max="11515" width="4.42578125" style="104" customWidth="1"/>
    <col min="11516" max="11516" width="7.85546875" style="104" customWidth="1"/>
    <col min="11517" max="11518" width="15.42578125" style="104" customWidth="1"/>
    <col min="11519" max="11519" width="14.5703125" style="104" customWidth="1"/>
    <col min="11520" max="11520" width="15.5703125" style="104" customWidth="1"/>
    <col min="11521" max="11522" width="16.85546875" style="104" customWidth="1"/>
    <col min="11523" max="11523" width="14.7109375" style="104" customWidth="1"/>
    <col min="11524" max="11524" width="12.85546875" style="104" customWidth="1"/>
    <col min="11525" max="11526" width="15" style="104" customWidth="1"/>
    <col min="11527" max="11527" width="7.28515625" style="104" customWidth="1"/>
    <col min="11528" max="11528" width="14.7109375" style="104" customWidth="1"/>
    <col min="11529" max="11529" width="13.7109375" style="104" customWidth="1"/>
    <col min="11530" max="11530" width="9.28515625" style="104" customWidth="1"/>
    <col min="11531" max="11531" width="12.42578125" style="104" customWidth="1"/>
    <col min="11532" max="11532" width="9.140625" style="104" bestFit="1" customWidth="1"/>
    <col min="11533" max="11533" width="10" style="104" customWidth="1"/>
    <col min="11534" max="11534" width="11.5703125" style="104" customWidth="1"/>
    <col min="11535" max="11770" width="9.140625" style="104"/>
    <col min="11771" max="11771" width="4.42578125" style="104" customWidth="1"/>
    <col min="11772" max="11772" width="7.85546875" style="104" customWidth="1"/>
    <col min="11773" max="11774" width="15.42578125" style="104" customWidth="1"/>
    <col min="11775" max="11775" width="14.5703125" style="104" customWidth="1"/>
    <col min="11776" max="11776" width="15.5703125" style="104" customWidth="1"/>
    <col min="11777" max="11778" width="16.85546875" style="104" customWidth="1"/>
    <col min="11779" max="11779" width="14.7109375" style="104" customWidth="1"/>
    <col min="11780" max="11780" width="12.85546875" style="104" customWidth="1"/>
    <col min="11781" max="11782" width="15" style="104" customWidth="1"/>
    <col min="11783" max="11783" width="7.28515625" style="104" customWidth="1"/>
    <col min="11784" max="11784" width="14.7109375" style="104" customWidth="1"/>
    <col min="11785" max="11785" width="13.7109375" style="104" customWidth="1"/>
    <col min="11786" max="11786" width="9.28515625" style="104" customWidth="1"/>
    <col min="11787" max="11787" width="12.42578125" style="104" customWidth="1"/>
    <col min="11788" max="11788" width="9.140625" style="104" bestFit="1" customWidth="1"/>
    <col min="11789" max="11789" width="10" style="104" customWidth="1"/>
    <col min="11790" max="11790" width="11.5703125" style="104" customWidth="1"/>
    <col min="11791" max="12026" width="9.140625" style="104"/>
    <col min="12027" max="12027" width="4.42578125" style="104" customWidth="1"/>
    <col min="12028" max="12028" width="7.85546875" style="104" customWidth="1"/>
    <col min="12029" max="12030" width="15.42578125" style="104" customWidth="1"/>
    <col min="12031" max="12031" width="14.5703125" style="104" customWidth="1"/>
    <col min="12032" max="12032" width="15.5703125" style="104" customWidth="1"/>
    <col min="12033" max="12034" width="16.85546875" style="104" customWidth="1"/>
    <col min="12035" max="12035" width="14.7109375" style="104" customWidth="1"/>
    <col min="12036" max="12036" width="12.85546875" style="104" customWidth="1"/>
    <col min="12037" max="12038" width="15" style="104" customWidth="1"/>
    <col min="12039" max="12039" width="7.28515625" style="104" customWidth="1"/>
    <col min="12040" max="12040" width="14.7109375" style="104" customWidth="1"/>
    <col min="12041" max="12041" width="13.7109375" style="104" customWidth="1"/>
    <col min="12042" max="12042" width="9.28515625" style="104" customWidth="1"/>
    <col min="12043" max="12043" width="12.42578125" style="104" customWidth="1"/>
    <col min="12044" max="12044" width="9.140625" style="104" bestFit="1" customWidth="1"/>
    <col min="12045" max="12045" width="10" style="104" customWidth="1"/>
    <col min="12046" max="12046" width="11.5703125" style="104" customWidth="1"/>
    <col min="12047" max="12282" width="9.140625" style="104"/>
    <col min="12283" max="12283" width="4.42578125" style="104" customWidth="1"/>
    <col min="12284" max="12284" width="7.85546875" style="104" customWidth="1"/>
    <col min="12285" max="12286" width="15.42578125" style="104" customWidth="1"/>
    <col min="12287" max="12287" width="14.5703125" style="104" customWidth="1"/>
    <col min="12288" max="12288" width="15.5703125" style="104" customWidth="1"/>
    <col min="12289" max="12290" width="16.85546875" style="104" customWidth="1"/>
    <col min="12291" max="12291" width="14.7109375" style="104" customWidth="1"/>
    <col min="12292" max="12292" width="12.85546875" style="104" customWidth="1"/>
    <col min="12293" max="12294" width="15" style="104" customWidth="1"/>
    <col min="12295" max="12295" width="7.28515625" style="104" customWidth="1"/>
    <col min="12296" max="12296" width="14.7109375" style="104" customWidth="1"/>
    <col min="12297" max="12297" width="13.7109375" style="104" customWidth="1"/>
    <col min="12298" max="12298" width="9.28515625" style="104" customWidth="1"/>
    <col min="12299" max="12299" width="12.42578125" style="104" customWidth="1"/>
    <col min="12300" max="12300" width="9.140625" style="104" bestFit="1" customWidth="1"/>
    <col min="12301" max="12301" width="10" style="104" customWidth="1"/>
    <col min="12302" max="12302" width="11.5703125" style="104" customWidth="1"/>
    <col min="12303" max="12538" width="9.140625" style="104"/>
    <col min="12539" max="12539" width="4.42578125" style="104" customWidth="1"/>
    <col min="12540" max="12540" width="7.85546875" style="104" customWidth="1"/>
    <col min="12541" max="12542" width="15.42578125" style="104" customWidth="1"/>
    <col min="12543" max="12543" width="14.5703125" style="104" customWidth="1"/>
    <col min="12544" max="12544" width="15.5703125" style="104" customWidth="1"/>
    <col min="12545" max="12546" width="16.85546875" style="104" customWidth="1"/>
    <col min="12547" max="12547" width="14.7109375" style="104" customWidth="1"/>
    <col min="12548" max="12548" width="12.85546875" style="104" customWidth="1"/>
    <col min="12549" max="12550" width="15" style="104" customWidth="1"/>
    <col min="12551" max="12551" width="7.28515625" style="104" customWidth="1"/>
    <col min="12552" max="12552" width="14.7109375" style="104" customWidth="1"/>
    <col min="12553" max="12553" width="13.7109375" style="104" customWidth="1"/>
    <col min="12554" max="12554" width="9.28515625" style="104" customWidth="1"/>
    <col min="12555" max="12555" width="12.42578125" style="104" customWidth="1"/>
    <col min="12556" max="12556" width="9.140625" style="104" bestFit="1" customWidth="1"/>
    <col min="12557" max="12557" width="10" style="104" customWidth="1"/>
    <col min="12558" max="12558" width="11.5703125" style="104" customWidth="1"/>
    <col min="12559" max="12794" width="9.140625" style="104"/>
    <col min="12795" max="12795" width="4.42578125" style="104" customWidth="1"/>
    <col min="12796" max="12796" width="7.85546875" style="104" customWidth="1"/>
    <col min="12797" max="12798" width="15.42578125" style="104" customWidth="1"/>
    <col min="12799" max="12799" width="14.5703125" style="104" customWidth="1"/>
    <col min="12800" max="12800" width="15.5703125" style="104" customWidth="1"/>
    <col min="12801" max="12802" width="16.85546875" style="104" customWidth="1"/>
    <col min="12803" max="12803" width="14.7109375" style="104" customWidth="1"/>
    <col min="12804" max="12804" width="12.85546875" style="104" customWidth="1"/>
    <col min="12805" max="12806" width="15" style="104" customWidth="1"/>
    <col min="12807" max="12807" width="7.28515625" style="104" customWidth="1"/>
    <col min="12808" max="12808" width="14.7109375" style="104" customWidth="1"/>
    <col min="12809" max="12809" width="13.7109375" style="104" customWidth="1"/>
    <col min="12810" max="12810" width="9.28515625" style="104" customWidth="1"/>
    <col min="12811" max="12811" width="12.42578125" style="104" customWidth="1"/>
    <col min="12812" max="12812" width="9.140625" style="104" bestFit="1" customWidth="1"/>
    <col min="12813" max="12813" width="10" style="104" customWidth="1"/>
    <col min="12814" max="12814" width="11.5703125" style="104" customWidth="1"/>
    <col min="12815" max="13050" width="9.140625" style="104"/>
    <col min="13051" max="13051" width="4.42578125" style="104" customWidth="1"/>
    <col min="13052" max="13052" width="7.85546875" style="104" customWidth="1"/>
    <col min="13053" max="13054" width="15.42578125" style="104" customWidth="1"/>
    <col min="13055" max="13055" width="14.5703125" style="104" customWidth="1"/>
    <col min="13056" max="13056" width="15.5703125" style="104" customWidth="1"/>
    <col min="13057" max="13058" width="16.85546875" style="104" customWidth="1"/>
    <col min="13059" max="13059" width="14.7109375" style="104" customWidth="1"/>
    <col min="13060" max="13060" width="12.85546875" style="104" customWidth="1"/>
    <col min="13061" max="13062" width="15" style="104" customWidth="1"/>
    <col min="13063" max="13063" width="7.28515625" style="104" customWidth="1"/>
    <col min="13064" max="13064" width="14.7109375" style="104" customWidth="1"/>
    <col min="13065" max="13065" width="13.7109375" style="104" customWidth="1"/>
    <col min="13066" max="13066" width="9.28515625" style="104" customWidth="1"/>
    <col min="13067" max="13067" width="12.42578125" style="104" customWidth="1"/>
    <col min="13068" max="13068" width="9.140625" style="104" bestFit="1" customWidth="1"/>
    <col min="13069" max="13069" width="10" style="104" customWidth="1"/>
    <col min="13070" max="13070" width="11.5703125" style="104" customWidth="1"/>
    <col min="13071" max="13306" width="9.140625" style="104"/>
    <col min="13307" max="13307" width="4.42578125" style="104" customWidth="1"/>
    <col min="13308" max="13308" width="7.85546875" style="104" customWidth="1"/>
    <col min="13309" max="13310" width="15.42578125" style="104" customWidth="1"/>
    <col min="13311" max="13311" width="14.5703125" style="104" customWidth="1"/>
    <col min="13312" max="13312" width="15.5703125" style="104" customWidth="1"/>
    <col min="13313" max="13314" width="16.85546875" style="104" customWidth="1"/>
    <col min="13315" max="13315" width="14.7109375" style="104" customWidth="1"/>
    <col min="13316" max="13316" width="12.85546875" style="104" customWidth="1"/>
    <col min="13317" max="13318" width="15" style="104" customWidth="1"/>
    <col min="13319" max="13319" width="7.28515625" style="104" customWidth="1"/>
    <col min="13320" max="13320" width="14.7109375" style="104" customWidth="1"/>
    <col min="13321" max="13321" width="13.7109375" style="104" customWidth="1"/>
    <col min="13322" max="13322" width="9.28515625" style="104" customWidth="1"/>
    <col min="13323" max="13323" width="12.42578125" style="104" customWidth="1"/>
    <col min="13324" max="13324" width="9.140625" style="104" bestFit="1" customWidth="1"/>
    <col min="13325" max="13325" width="10" style="104" customWidth="1"/>
    <col min="13326" max="13326" width="11.5703125" style="104" customWidth="1"/>
    <col min="13327" max="13562" width="9.140625" style="104"/>
    <col min="13563" max="13563" width="4.42578125" style="104" customWidth="1"/>
    <col min="13564" max="13564" width="7.85546875" style="104" customWidth="1"/>
    <col min="13565" max="13566" width="15.42578125" style="104" customWidth="1"/>
    <col min="13567" max="13567" width="14.5703125" style="104" customWidth="1"/>
    <col min="13568" max="13568" width="15.5703125" style="104" customWidth="1"/>
    <col min="13569" max="13570" width="16.85546875" style="104" customWidth="1"/>
    <col min="13571" max="13571" width="14.7109375" style="104" customWidth="1"/>
    <col min="13572" max="13572" width="12.85546875" style="104" customWidth="1"/>
    <col min="13573" max="13574" width="15" style="104" customWidth="1"/>
    <col min="13575" max="13575" width="7.28515625" style="104" customWidth="1"/>
    <col min="13576" max="13576" width="14.7109375" style="104" customWidth="1"/>
    <col min="13577" max="13577" width="13.7109375" style="104" customWidth="1"/>
    <col min="13578" max="13578" width="9.28515625" style="104" customWidth="1"/>
    <col min="13579" max="13579" width="12.42578125" style="104" customWidth="1"/>
    <col min="13580" max="13580" width="9.140625" style="104" bestFit="1" customWidth="1"/>
    <col min="13581" max="13581" width="10" style="104" customWidth="1"/>
    <col min="13582" max="13582" width="11.5703125" style="104" customWidth="1"/>
    <col min="13583" max="13818" width="9.140625" style="104"/>
    <col min="13819" max="13819" width="4.42578125" style="104" customWidth="1"/>
    <col min="13820" max="13820" width="7.85546875" style="104" customWidth="1"/>
    <col min="13821" max="13822" width="15.42578125" style="104" customWidth="1"/>
    <col min="13823" max="13823" width="14.5703125" style="104" customWidth="1"/>
    <col min="13824" max="13824" width="15.5703125" style="104" customWidth="1"/>
    <col min="13825" max="13826" width="16.85546875" style="104" customWidth="1"/>
    <col min="13827" max="13827" width="14.7109375" style="104" customWidth="1"/>
    <col min="13828" max="13828" width="12.85546875" style="104" customWidth="1"/>
    <col min="13829" max="13830" width="15" style="104" customWidth="1"/>
    <col min="13831" max="13831" width="7.28515625" style="104" customWidth="1"/>
    <col min="13832" max="13832" width="14.7109375" style="104" customWidth="1"/>
    <col min="13833" max="13833" width="13.7109375" style="104" customWidth="1"/>
    <col min="13834" max="13834" width="9.28515625" style="104" customWidth="1"/>
    <col min="13835" max="13835" width="12.42578125" style="104" customWidth="1"/>
    <col min="13836" max="13836" width="9.140625" style="104" bestFit="1" customWidth="1"/>
    <col min="13837" max="13837" width="10" style="104" customWidth="1"/>
    <col min="13838" max="13838" width="11.5703125" style="104" customWidth="1"/>
    <col min="13839" max="14074" width="9.140625" style="104"/>
    <col min="14075" max="14075" width="4.42578125" style="104" customWidth="1"/>
    <col min="14076" max="14076" width="7.85546875" style="104" customWidth="1"/>
    <col min="14077" max="14078" width="15.42578125" style="104" customWidth="1"/>
    <col min="14079" max="14079" width="14.5703125" style="104" customWidth="1"/>
    <col min="14080" max="14080" width="15.5703125" style="104" customWidth="1"/>
    <col min="14081" max="14082" width="16.85546875" style="104" customWidth="1"/>
    <col min="14083" max="14083" width="14.7109375" style="104" customWidth="1"/>
    <col min="14084" max="14084" width="12.85546875" style="104" customWidth="1"/>
    <col min="14085" max="14086" width="15" style="104" customWidth="1"/>
    <col min="14087" max="14087" width="7.28515625" style="104" customWidth="1"/>
    <col min="14088" max="14088" width="14.7109375" style="104" customWidth="1"/>
    <col min="14089" max="14089" width="13.7109375" style="104" customWidth="1"/>
    <col min="14090" max="14090" width="9.28515625" style="104" customWidth="1"/>
    <col min="14091" max="14091" width="12.42578125" style="104" customWidth="1"/>
    <col min="14092" max="14092" width="9.140625" style="104" bestFit="1" customWidth="1"/>
    <col min="14093" max="14093" width="10" style="104" customWidth="1"/>
    <col min="14094" max="14094" width="11.5703125" style="104" customWidth="1"/>
    <col min="14095" max="14330" width="9.140625" style="104"/>
    <col min="14331" max="14331" width="4.42578125" style="104" customWidth="1"/>
    <col min="14332" max="14332" width="7.85546875" style="104" customWidth="1"/>
    <col min="14333" max="14334" width="15.42578125" style="104" customWidth="1"/>
    <col min="14335" max="14335" width="14.5703125" style="104" customWidth="1"/>
    <col min="14336" max="14336" width="15.5703125" style="104" customWidth="1"/>
    <col min="14337" max="14338" width="16.85546875" style="104" customWidth="1"/>
    <col min="14339" max="14339" width="14.7109375" style="104" customWidth="1"/>
    <col min="14340" max="14340" width="12.85546875" style="104" customWidth="1"/>
    <col min="14341" max="14342" width="15" style="104" customWidth="1"/>
    <col min="14343" max="14343" width="7.28515625" style="104" customWidth="1"/>
    <col min="14344" max="14344" width="14.7109375" style="104" customWidth="1"/>
    <col min="14345" max="14345" width="13.7109375" style="104" customWidth="1"/>
    <col min="14346" max="14346" width="9.28515625" style="104" customWidth="1"/>
    <col min="14347" max="14347" width="12.42578125" style="104" customWidth="1"/>
    <col min="14348" max="14348" width="9.140625" style="104" bestFit="1" customWidth="1"/>
    <col min="14349" max="14349" width="10" style="104" customWidth="1"/>
    <col min="14350" max="14350" width="11.5703125" style="104" customWidth="1"/>
    <col min="14351" max="14586" width="9.140625" style="104"/>
    <col min="14587" max="14587" width="4.42578125" style="104" customWidth="1"/>
    <col min="14588" max="14588" width="7.85546875" style="104" customWidth="1"/>
    <col min="14589" max="14590" width="15.42578125" style="104" customWidth="1"/>
    <col min="14591" max="14591" width="14.5703125" style="104" customWidth="1"/>
    <col min="14592" max="14592" width="15.5703125" style="104" customWidth="1"/>
    <col min="14593" max="14594" width="16.85546875" style="104" customWidth="1"/>
    <col min="14595" max="14595" width="14.7109375" style="104" customWidth="1"/>
    <col min="14596" max="14596" width="12.85546875" style="104" customWidth="1"/>
    <col min="14597" max="14598" width="15" style="104" customWidth="1"/>
    <col min="14599" max="14599" width="7.28515625" style="104" customWidth="1"/>
    <col min="14600" max="14600" width="14.7109375" style="104" customWidth="1"/>
    <col min="14601" max="14601" width="13.7109375" style="104" customWidth="1"/>
    <col min="14602" max="14602" width="9.28515625" style="104" customWidth="1"/>
    <col min="14603" max="14603" width="12.42578125" style="104" customWidth="1"/>
    <col min="14604" max="14604" width="9.140625" style="104" bestFit="1" customWidth="1"/>
    <col min="14605" max="14605" width="10" style="104" customWidth="1"/>
    <col min="14606" max="14606" width="11.5703125" style="104" customWidth="1"/>
    <col min="14607" max="14842" width="9.140625" style="104"/>
    <col min="14843" max="14843" width="4.42578125" style="104" customWidth="1"/>
    <col min="14844" max="14844" width="7.85546875" style="104" customWidth="1"/>
    <col min="14845" max="14846" width="15.42578125" style="104" customWidth="1"/>
    <col min="14847" max="14847" width="14.5703125" style="104" customWidth="1"/>
    <col min="14848" max="14848" width="15.5703125" style="104" customWidth="1"/>
    <col min="14849" max="14850" width="16.85546875" style="104" customWidth="1"/>
    <col min="14851" max="14851" width="14.7109375" style="104" customWidth="1"/>
    <col min="14852" max="14852" width="12.85546875" style="104" customWidth="1"/>
    <col min="14853" max="14854" width="15" style="104" customWidth="1"/>
    <col min="14855" max="14855" width="7.28515625" style="104" customWidth="1"/>
    <col min="14856" max="14856" width="14.7109375" style="104" customWidth="1"/>
    <col min="14857" max="14857" width="13.7109375" style="104" customWidth="1"/>
    <col min="14858" max="14858" width="9.28515625" style="104" customWidth="1"/>
    <col min="14859" max="14859" width="12.42578125" style="104" customWidth="1"/>
    <col min="14860" max="14860" width="9.140625" style="104" bestFit="1" customWidth="1"/>
    <col min="14861" max="14861" width="10" style="104" customWidth="1"/>
    <col min="14862" max="14862" width="11.5703125" style="104" customWidth="1"/>
    <col min="14863" max="15098" width="9.140625" style="104"/>
    <col min="15099" max="15099" width="4.42578125" style="104" customWidth="1"/>
    <col min="15100" max="15100" width="7.85546875" style="104" customWidth="1"/>
    <col min="15101" max="15102" width="15.42578125" style="104" customWidth="1"/>
    <col min="15103" max="15103" width="14.5703125" style="104" customWidth="1"/>
    <col min="15104" max="15104" width="15.5703125" style="104" customWidth="1"/>
    <col min="15105" max="15106" width="16.85546875" style="104" customWidth="1"/>
    <col min="15107" max="15107" width="14.7109375" style="104" customWidth="1"/>
    <col min="15108" max="15108" width="12.85546875" style="104" customWidth="1"/>
    <col min="15109" max="15110" width="15" style="104" customWidth="1"/>
    <col min="15111" max="15111" width="7.28515625" style="104" customWidth="1"/>
    <col min="15112" max="15112" width="14.7109375" style="104" customWidth="1"/>
    <col min="15113" max="15113" width="13.7109375" style="104" customWidth="1"/>
    <col min="15114" max="15114" width="9.28515625" style="104" customWidth="1"/>
    <col min="15115" max="15115" width="12.42578125" style="104" customWidth="1"/>
    <col min="15116" max="15116" width="9.140625" style="104" bestFit="1" customWidth="1"/>
    <col min="15117" max="15117" width="10" style="104" customWidth="1"/>
    <col min="15118" max="15118" width="11.5703125" style="104" customWidth="1"/>
    <col min="15119" max="15354" width="9.140625" style="104"/>
    <col min="15355" max="15355" width="4.42578125" style="104" customWidth="1"/>
    <col min="15356" max="15356" width="7.85546875" style="104" customWidth="1"/>
    <col min="15357" max="15358" width="15.42578125" style="104" customWidth="1"/>
    <col min="15359" max="15359" width="14.5703125" style="104" customWidth="1"/>
    <col min="15360" max="15360" width="15.5703125" style="104" customWidth="1"/>
    <col min="15361" max="15362" width="16.85546875" style="104" customWidth="1"/>
    <col min="15363" max="15363" width="14.7109375" style="104" customWidth="1"/>
    <col min="15364" max="15364" width="12.85546875" style="104" customWidth="1"/>
    <col min="15365" max="15366" width="15" style="104" customWidth="1"/>
    <col min="15367" max="15367" width="7.28515625" style="104" customWidth="1"/>
    <col min="15368" max="15368" width="14.7109375" style="104" customWidth="1"/>
    <col min="15369" max="15369" width="13.7109375" style="104" customWidth="1"/>
    <col min="15370" max="15370" width="9.28515625" style="104" customWidth="1"/>
    <col min="15371" max="15371" width="12.42578125" style="104" customWidth="1"/>
    <col min="15372" max="15372" width="9.140625" style="104" bestFit="1" customWidth="1"/>
    <col min="15373" max="15373" width="10" style="104" customWidth="1"/>
    <col min="15374" max="15374" width="11.5703125" style="104" customWidth="1"/>
    <col min="15375" max="15610" width="9.140625" style="104"/>
    <col min="15611" max="15611" width="4.42578125" style="104" customWidth="1"/>
    <col min="15612" max="15612" width="7.85546875" style="104" customWidth="1"/>
    <col min="15613" max="15614" width="15.42578125" style="104" customWidth="1"/>
    <col min="15615" max="15615" width="14.5703125" style="104" customWidth="1"/>
    <col min="15616" max="15616" width="15.5703125" style="104" customWidth="1"/>
    <col min="15617" max="15618" width="16.85546875" style="104" customWidth="1"/>
    <col min="15619" max="15619" width="14.7109375" style="104" customWidth="1"/>
    <col min="15620" max="15620" width="12.85546875" style="104" customWidth="1"/>
    <col min="15621" max="15622" width="15" style="104" customWidth="1"/>
    <col min="15623" max="15623" width="7.28515625" style="104" customWidth="1"/>
    <col min="15624" max="15624" width="14.7109375" style="104" customWidth="1"/>
    <col min="15625" max="15625" width="13.7109375" style="104" customWidth="1"/>
    <col min="15626" max="15626" width="9.28515625" style="104" customWidth="1"/>
    <col min="15627" max="15627" width="12.42578125" style="104" customWidth="1"/>
    <col min="15628" max="15628" width="9.140625" style="104" bestFit="1" customWidth="1"/>
    <col min="15629" max="15629" width="10" style="104" customWidth="1"/>
    <col min="15630" max="15630" width="11.5703125" style="104" customWidth="1"/>
    <col min="15631" max="15866" width="9.140625" style="104"/>
    <col min="15867" max="15867" width="4.42578125" style="104" customWidth="1"/>
    <col min="15868" max="15868" width="7.85546875" style="104" customWidth="1"/>
    <col min="15869" max="15870" width="15.42578125" style="104" customWidth="1"/>
    <col min="15871" max="15871" width="14.5703125" style="104" customWidth="1"/>
    <col min="15872" max="15872" width="15.5703125" style="104" customWidth="1"/>
    <col min="15873" max="15874" width="16.85546875" style="104" customWidth="1"/>
    <col min="15875" max="15875" width="14.7109375" style="104" customWidth="1"/>
    <col min="15876" max="15876" width="12.85546875" style="104" customWidth="1"/>
    <col min="15877" max="15878" width="15" style="104" customWidth="1"/>
    <col min="15879" max="15879" width="7.28515625" style="104" customWidth="1"/>
    <col min="15880" max="15880" width="14.7109375" style="104" customWidth="1"/>
    <col min="15881" max="15881" width="13.7109375" style="104" customWidth="1"/>
    <col min="15882" max="15882" width="9.28515625" style="104" customWidth="1"/>
    <col min="15883" max="15883" width="12.42578125" style="104" customWidth="1"/>
    <col min="15884" max="15884" width="9.140625" style="104" bestFit="1" customWidth="1"/>
    <col min="15885" max="15885" width="10" style="104" customWidth="1"/>
    <col min="15886" max="15886" width="11.5703125" style="104" customWidth="1"/>
    <col min="15887" max="16122" width="9.140625" style="104"/>
    <col min="16123" max="16123" width="4.42578125" style="104" customWidth="1"/>
    <col min="16124" max="16124" width="7.85546875" style="104" customWidth="1"/>
    <col min="16125" max="16126" width="15.42578125" style="104" customWidth="1"/>
    <col min="16127" max="16127" width="14.5703125" style="104" customWidth="1"/>
    <col min="16128" max="16128" width="15.5703125" style="104" customWidth="1"/>
    <col min="16129" max="16130" width="16.85546875" style="104" customWidth="1"/>
    <col min="16131" max="16131" width="14.7109375" style="104" customWidth="1"/>
    <col min="16132" max="16132" width="12.85546875" style="104" customWidth="1"/>
    <col min="16133" max="16134" width="15" style="104" customWidth="1"/>
    <col min="16135" max="16135" width="7.28515625" style="104" customWidth="1"/>
    <col min="16136" max="16136" width="14.7109375" style="104" customWidth="1"/>
    <col min="16137" max="16137" width="13.7109375" style="104" customWidth="1"/>
    <col min="16138" max="16138" width="9.28515625" style="104" customWidth="1"/>
    <col min="16139" max="16139" width="12.42578125" style="104" customWidth="1"/>
    <col min="16140" max="16140" width="9.140625" style="104" bestFit="1" customWidth="1"/>
    <col min="16141" max="16141" width="10" style="104" customWidth="1"/>
    <col min="16142" max="16142" width="11.5703125" style="104" customWidth="1"/>
    <col min="16143" max="16384" width="9.140625" style="104"/>
  </cols>
  <sheetData>
    <row r="2" spans="3:8" ht="20.25" x14ac:dyDescent="0.3">
      <c r="C2" s="103" t="s">
        <v>72</v>
      </c>
    </row>
    <row r="4" spans="3:8" ht="13.5" thickBot="1" x14ac:dyDescent="0.25"/>
    <row r="5" spans="3:8" ht="18.75" thickBot="1" x14ac:dyDescent="0.25">
      <c r="C5" s="178" t="s">
        <v>73</v>
      </c>
      <c r="D5" s="179"/>
      <c r="E5" s="179"/>
      <c r="F5" s="179"/>
      <c r="G5" s="179"/>
      <c r="H5" s="180"/>
    </row>
    <row r="6" spans="3:8" ht="15" customHeight="1" x14ac:dyDescent="0.2">
      <c r="C6" s="181" t="s">
        <v>74</v>
      </c>
      <c r="D6" s="182"/>
      <c r="E6" s="182"/>
      <c r="F6" s="182"/>
      <c r="G6" s="182"/>
      <c r="H6" s="183"/>
    </row>
    <row r="7" spans="3:8" ht="15.75" x14ac:dyDescent="0.2">
      <c r="C7" s="184" t="s">
        <v>75</v>
      </c>
      <c r="D7" s="185"/>
      <c r="E7" s="185"/>
      <c r="F7" s="185"/>
      <c r="G7" s="185"/>
      <c r="H7" s="186"/>
    </row>
    <row r="8" spans="3:8" ht="10.5" customHeight="1" x14ac:dyDescent="0.2">
      <c r="C8" s="105"/>
      <c r="D8" s="106"/>
      <c r="E8" s="106"/>
      <c r="F8" s="106"/>
      <c r="G8" s="106"/>
      <c r="H8" s="107"/>
    </row>
    <row r="9" spans="3:8" ht="32.25" customHeight="1" x14ac:dyDescent="0.2">
      <c r="C9" s="108" t="s">
        <v>76</v>
      </c>
      <c r="D9" s="109">
        <f>Average_Weekly_Demand*Weeks_Per_Year</f>
        <v>130000</v>
      </c>
      <c r="E9" s="110" t="s">
        <v>77</v>
      </c>
      <c r="F9" s="111" t="s">
        <v>78</v>
      </c>
      <c r="G9" s="112">
        <f>H9*100</f>
        <v>5000</v>
      </c>
      <c r="H9" s="113">
        <v>50</v>
      </c>
    </row>
    <row r="10" spans="3:8" ht="20.25" customHeight="1" x14ac:dyDescent="0.2">
      <c r="C10" s="114"/>
      <c r="D10" s="115" t="s">
        <v>79</v>
      </c>
      <c r="E10" s="116"/>
      <c r="F10" s="116"/>
      <c r="G10" s="115" t="s">
        <v>79</v>
      </c>
      <c r="H10" s="117"/>
    </row>
    <row r="11" spans="3:8" ht="15.75" x14ac:dyDescent="0.2">
      <c r="C11" s="184" t="s">
        <v>80</v>
      </c>
      <c r="D11" s="185"/>
      <c r="E11" s="185"/>
      <c r="F11" s="185"/>
      <c r="G11" s="185"/>
      <c r="H11" s="186"/>
    </row>
    <row r="12" spans="3:8" ht="11.25" customHeight="1" x14ac:dyDescent="0.2">
      <c r="C12" s="105"/>
      <c r="D12" s="106"/>
      <c r="E12" s="106"/>
      <c r="F12" s="106"/>
      <c r="G12" s="106"/>
      <c r="H12" s="107"/>
    </row>
    <row r="13" spans="3:8" ht="32.25" customHeight="1" x14ac:dyDescent="0.2">
      <c r="C13" s="108" t="s">
        <v>76</v>
      </c>
      <c r="D13" s="118">
        <f>Growth_Rate</f>
        <v>5.0000000000000044E-2</v>
      </c>
      <c r="E13" s="110" t="s">
        <v>77</v>
      </c>
      <c r="F13" s="111" t="s">
        <v>78</v>
      </c>
      <c r="G13" s="119">
        <f>H13/1000</f>
        <v>5.0000000000000001E-3</v>
      </c>
      <c r="H13" s="120">
        <v>5</v>
      </c>
    </row>
    <row r="14" spans="3:8" ht="22.5" customHeight="1" x14ac:dyDescent="0.2">
      <c r="C14" s="114"/>
      <c r="D14" s="115" t="s">
        <v>81</v>
      </c>
      <c r="E14" s="116"/>
      <c r="F14" s="116"/>
      <c r="G14" s="115" t="s">
        <v>81</v>
      </c>
      <c r="H14" s="117"/>
    </row>
    <row r="15" spans="3:8" ht="15.75" x14ac:dyDescent="0.2">
      <c r="C15" s="184" t="s">
        <v>109</v>
      </c>
      <c r="D15" s="185"/>
      <c r="E15" s="185"/>
      <c r="F15" s="185"/>
      <c r="G15" s="185"/>
      <c r="H15" s="186"/>
    </row>
    <row r="16" spans="3:8" ht="12" customHeight="1" x14ac:dyDescent="0.2">
      <c r="C16" s="105"/>
      <c r="D16" s="106"/>
      <c r="E16" s="106"/>
      <c r="F16" s="106"/>
      <c r="G16" s="106"/>
      <c r="H16" s="107"/>
    </row>
    <row r="17" spans="3:13" ht="33" customHeight="1" x14ac:dyDescent="0.2">
      <c r="C17" s="121" t="s">
        <v>106</v>
      </c>
      <c r="D17" s="109">
        <f>Contract_Length</f>
        <v>5</v>
      </c>
      <c r="E17" s="110" t="s">
        <v>77</v>
      </c>
      <c r="F17" s="122"/>
      <c r="G17" s="122"/>
      <c r="H17" s="123"/>
    </row>
    <row r="18" spans="3:13" customFormat="1" ht="20.25" customHeight="1" x14ac:dyDescent="0.25">
      <c r="C18" s="114"/>
      <c r="D18" s="115" t="s">
        <v>110</v>
      </c>
      <c r="E18" s="116"/>
      <c r="F18" s="116"/>
      <c r="G18" s="116"/>
      <c r="H18" s="117"/>
    </row>
    <row r="19" spans="3:13" customFormat="1" ht="18.75" customHeight="1" x14ac:dyDescent="0.25">
      <c r="C19" s="184" t="s">
        <v>94</v>
      </c>
      <c r="D19" s="185"/>
      <c r="E19" s="185"/>
      <c r="F19" s="185"/>
      <c r="G19" s="185"/>
      <c r="H19" s="186"/>
    </row>
    <row r="20" spans="3:13" customFormat="1" ht="9" customHeight="1" x14ac:dyDescent="0.25">
      <c r="C20" s="105"/>
      <c r="D20" s="106"/>
      <c r="E20" s="106"/>
      <c r="F20" s="106"/>
      <c r="G20" s="106"/>
      <c r="H20" s="107"/>
    </row>
    <row r="21" spans="3:13" customFormat="1" ht="15.75" customHeight="1" x14ac:dyDescent="0.25">
      <c r="C21" s="124"/>
      <c r="D21" s="125"/>
      <c r="E21" s="126" t="s">
        <v>6</v>
      </c>
      <c r="F21" s="122"/>
      <c r="G21" s="122"/>
      <c r="H21" s="123"/>
    </row>
    <row r="22" spans="3:13" customFormat="1" ht="33" customHeight="1" x14ac:dyDescent="0.25">
      <c r="C22" s="124"/>
      <c r="D22" s="111" t="s">
        <v>95</v>
      </c>
      <c r="E22" s="173"/>
      <c r="F22" s="122"/>
      <c r="G22" s="122"/>
      <c r="H22" s="123"/>
    </row>
    <row r="23" spans="3:13" ht="15" customHeight="1" thickBot="1" x14ac:dyDescent="0.25">
      <c r="C23" s="127"/>
      <c r="D23" s="128"/>
      <c r="E23" s="128"/>
      <c r="F23" s="128"/>
      <c r="G23" s="128"/>
      <c r="H23" s="129"/>
    </row>
    <row r="24" spans="3:13" ht="25.5" customHeight="1" x14ac:dyDescent="0.2">
      <c r="K24" s="130" t="s">
        <v>82</v>
      </c>
      <c r="L24" s="131">
        <v>350</v>
      </c>
      <c r="M24" s="132"/>
    </row>
    <row r="25" spans="3:13" ht="49.5" customHeight="1" x14ac:dyDescent="0.25">
      <c r="E25" s="174" t="s">
        <v>98</v>
      </c>
      <c r="F25" s="133"/>
      <c r="G25" s="133"/>
    </row>
    <row r="26" spans="3:13" ht="24" customHeight="1" x14ac:dyDescent="0.25">
      <c r="E26" s="126" t="s">
        <v>104</v>
      </c>
    </row>
    <row r="27" spans="3:13" ht="34.5" customHeight="1" x14ac:dyDescent="0.2">
      <c r="D27" s="130" t="s">
        <v>99</v>
      </c>
      <c r="E27" s="134"/>
      <c r="G27" s="135"/>
      <c r="H27" s="136" t="s">
        <v>101</v>
      </c>
      <c r="I27" s="172"/>
    </row>
    <row r="28" spans="3:13" ht="28.5" customHeight="1" x14ac:dyDescent="0.2">
      <c r="D28" s="130" t="s">
        <v>100</v>
      </c>
      <c r="E28" s="134"/>
      <c r="G28" s="135"/>
    </row>
    <row r="29" spans="3:13" ht="31.5" customHeight="1" x14ac:dyDescent="0.2">
      <c r="D29" s="130" t="s">
        <v>83</v>
      </c>
      <c r="E29" s="137"/>
      <c r="G29" s="138"/>
      <c r="H29" s="139" t="s">
        <v>84</v>
      </c>
      <c r="I29" s="140">
        <f>J29/100</f>
        <v>0.05</v>
      </c>
      <c r="J29" s="141">
        <v>5</v>
      </c>
      <c r="K29" s="139" t="s">
        <v>85</v>
      </c>
      <c r="L29" s="140">
        <f>M29/100</f>
        <v>0.01</v>
      </c>
      <c r="M29" s="141">
        <v>1</v>
      </c>
    </row>
    <row r="30" spans="3:13" customFormat="1" ht="16.5" customHeight="1" x14ac:dyDescent="0.25">
      <c r="I30" s="104"/>
      <c r="J30" s="104"/>
      <c r="K30" s="104"/>
    </row>
    <row r="32" spans="3:13" x14ac:dyDescent="0.2">
      <c r="C32" s="176" t="s">
        <v>86</v>
      </c>
      <c r="D32" s="177"/>
    </row>
    <row r="33" spans="2:13" ht="21.75" customHeight="1" x14ac:dyDescent="0.2">
      <c r="C33" s="142" t="s">
        <v>87</v>
      </c>
      <c r="D33" s="142" t="s">
        <v>88</v>
      </c>
    </row>
    <row r="34" spans="2:13" ht="22.5" customHeight="1" x14ac:dyDescent="0.2">
      <c r="B34" s="143" t="s">
        <v>89</v>
      </c>
      <c r="C34" s="144"/>
      <c r="D34" s="145"/>
    </row>
    <row r="36" spans="2:13" ht="17.25" customHeight="1" x14ac:dyDescent="0.2">
      <c r="B36" s="143" t="s">
        <v>90</v>
      </c>
      <c r="C36" s="142" t="s">
        <v>87</v>
      </c>
      <c r="D36" s="142" t="s">
        <v>88</v>
      </c>
      <c r="E36" s="142" t="str">
        <f>E26</f>
        <v>Contract NPW</v>
      </c>
      <c r="H36" s="146" t="s">
        <v>91</v>
      </c>
      <c r="I36" s="146" t="s">
        <v>105</v>
      </c>
      <c r="J36" s="146" t="s">
        <v>96</v>
      </c>
      <c r="K36" s="146" t="s">
        <v>92</v>
      </c>
      <c r="L36" s="147" t="s">
        <v>97</v>
      </c>
    </row>
    <row r="37" spans="2:13" ht="15.75" x14ac:dyDescent="0.25">
      <c r="B37" s="148">
        <v>1</v>
      </c>
      <c r="C37" s="144"/>
      <c r="D37" s="145"/>
      <c r="E37" s="149"/>
      <c r="H37" s="151">
        <f t="shared" ref="H37:H42" si="0">H38-$L$24</f>
        <v>-2100</v>
      </c>
      <c r="I37" s="152" t="str">
        <f>CONCATENATE("&lt;=",TEXT(H37,"$#,##0;[red]($#,##0)"))</f>
        <v>&lt;=($2,100)</v>
      </c>
      <c r="J37" s="153"/>
      <c r="K37" s="157" t="str">
        <f>IF($J$53&gt;0,J37/J$53,"")</f>
        <v/>
      </c>
      <c r="L37" s="158">
        <f>SUM($K$37:K37)</f>
        <v>0</v>
      </c>
    </row>
    <row r="38" spans="2:13" ht="15.75" x14ac:dyDescent="0.25">
      <c r="B38" s="148">
        <v>2</v>
      </c>
      <c r="C38" s="144"/>
      <c r="D38" s="145"/>
      <c r="E38" s="149"/>
      <c r="H38" s="159">
        <f t="shared" si="0"/>
        <v>-1750</v>
      </c>
      <c r="I38" s="160" t="str">
        <f t="shared" ref="I38:I51" si="1">CONCATENATE(TEXT(H37,"$#,##0;[red]($#,##0)")," to ",TEXT(H38,"$#,##0;[red]($#,##0)"))</f>
        <v>($2,100) to ($1,750)</v>
      </c>
      <c r="J38" s="154"/>
      <c r="K38" s="161" t="str">
        <f t="shared" ref="K38:K52" si="2">IF($J$53&gt;0,J38/J$53,"")</f>
        <v/>
      </c>
      <c r="L38" s="162">
        <f>SUM($K$37:K38)</f>
        <v>0</v>
      </c>
    </row>
    <row r="39" spans="2:13" ht="15.75" x14ac:dyDescent="0.25">
      <c r="B39" s="148">
        <v>3</v>
      </c>
      <c r="C39" s="144"/>
      <c r="D39" s="145"/>
      <c r="E39" s="149"/>
      <c r="H39" s="159">
        <f t="shared" si="0"/>
        <v>-1400</v>
      </c>
      <c r="I39" s="160" t="str">
        <f t="shared" si="1"/>
        <v>($1,750) to ($1,400)</v>
      </c>
      <c r="J39" s="154"/>
      <c r="K39" s="161" t="str">
        <f t="shared" si="2"/>
        <v/>
      </c>
      <c r="L39" s="162">
        <f>SUM($K$37:K39)</f>
        <v>0</v>
      </c>
    </row>
    <row r="40" spans="2:13" ht="15.75" x14ac:dyDescent="0.25">
      <c r="B40" s="148">
        <v>4</v>
      </c>
      <c r="C40" s="144"/>
      <c r="D40" s="145"/>
      <c r="E40" s="149"/>
      <c r="H40" s="159">
        <f t="shared" si="0"/>
        <v>-1050</v>
      </c>
      <c r="I40" s="160" t="str">
        <f t="shared" si="1"/>
        <v>($1,400) to ($1,050)</v>
      </c>
      <c r="J40" s="154"/>
      <c r="K40" s="161" t="str">
        <f t="shared" si="2"/>
        <v/>
      </c>
      <c r="L40" s="162">
        <f>SUM($K$37:K40)</f>
        <v>0</v>
      </c>
    </row>
    <row r="41" spans="2:13" ht="15.75" x14ac:dyDescent="0.25">
      <c r="B41" s="148">
        <v>5</v>
      </c>
      <c r="C41" s="144"/>
      <c r="D41" s="145"/>
      <c r="E41" s="149"/>
      <c r="H41" s="159">
        <f t="shared" si="0"/>
        <v>-700</v>
      </c>
      <c r="I41" s="160" t="str">
        <f t="shared" si="1"/>
        <v>($1,050) to ($700)</v>
      </c>
      <c r="J41" s="154"/>
      <c r="K41" s="161" t="str">
        <f t="shared" si="2"/>
        <v/>
      </c>
      <c r="L41" s="162">
        <f>SUM($K$37:K41)</f>
        <v>0</v>
      </c>
    </row>
    <row r="42" spans="2:13" ht="16.5" thickBot="1" x14ac:dyDescent="0.3">
      <c r="B42" s="148">
        <v>6</v>
      </c>
      <c r="C42" s="144"/>
      <c r="D42" s="145"/>
      <c r="E42" s="149"/>
      <c r="H42" s="159">
        <f t="shared" si="0"/>
        <v>-350</v>
      </c>
      <c r="I42" s="160" t="str">
        <f t="shared" si="1"/>
        <v>($700) to ($350)</v>
      </c>
      <c r="J42" s="154"/>
      <c r="K42" s="161" t="str">
        <f t="shared" si="2"/>
        <v/>
      </c>
      <c r="L42" s="162">
        <f>SUM($K$37:K42)</f>
        <v>0</v>
      </c>
    </row>
    <row r="43" spans="2:13" ht="16.5" thickBot="1" x14ac:dyDescent="0.3">
      <c r="B43" s="148">
        <v>7</v>
      </c>
      <c r="C43" s="144"/>
      <c r="D43" s="145"/>
      <c r="E43" s="149"/>
      <c r="H43" s="163">
        <f>0</f>
        <v>0</v>
      </c>
      <c r="I43" s="164" t="str">
        <f t="shared" si="1"/>
        <v>($350) to $0</v>
      </c>
      <c r="J43" s="155"/>
      <c r="K43" s="165" t="str">
        <f t="shared" si="2"/>
        <v/>
      </c>
      <c r="L43" s="166">
        <f>SUM($K$37:K43)</f>
        <v>0</v>
      </c>
      <c r="M43" s="167" t="s">
        <v>93</v>
      </c>
    </row>
    <row r="44" spans="2:13" ht="15.75" x14ac:dyDescent="0.25">
      <c r="B44" s="148">
        <v>8</v>
      </c>
      <c r="C44" s="144"/>
      <c r="D44" s="145"/>
      <c r="E44" s="149"/>
      <c r="H44" s="159">
        <f t="shared" ref="H44:H51" si="3">H43+$L$24</f>
        <v>350</v>
      </c>
      <c r="I44" s="160" t="str">
        <f t="shared" si="1"/>
        <v>$0 to $350</v>
      </c>
      <c r="J44" s="154"/>
      <c r="K44" s="161" t="str">
        <f t="shared" si="2"/>
        <v/>
      </c>
      <c r="L44" s="162">
        <f>SUM($K$37:K44)</f>
        <v>0</v>
      </c>
    </row>
    <row r="45" spans="2:13" ht="15.75" x14ac:dyDescent="0.25">
      <c r="B45" s="148">
        <v>9</v>
      </c>
      <c r="C45" s="144"/>
      <c r="D45" s="145"/>
      <c r="E45" s="149"/>
      <c r="H45" s="159">
        <f t="shared" si="3"/>
        <v>700</v>
      </c>
      <c r="I45" s="160" t="str">
        <f t="shared" si="1"/>
        <v>$350 to $700</v>
      </c>
      <c r="J45" s="154"/>
      <c r="K45" s="161" t="str">
        <f t="shared" si="2"/>
        <v/>
      </c>
      <c r="L45" s="162">
        <f>SUM($K$37:K45)</f>
        <v>0</v>
      </c>
    </row>
    <row r="46" spans="2:13" ht="15.75" x14ac:dyDescent="0.25">
      <c r="B46" s="148">
        <v>10</v>
      </c>
      <c r="C46" s="144"/>
      <c r="D46" s="145"/>
      <c r="E46" s="149"/>
      <c r="H46" s="159">
        <f t="shared" si="3"/>
        <v>1050</v>
      </c>
      <c r="I46" s="160" t="str">
        <f t="shared" si="1"/>
        <v>$700 to $1,050</v>
      </c>
      <c r="J46" s="154"/>
      <c r="K46" s="161" t="str">
        <f t="shared" si="2"/>
        <v/>
      </c>
      <c r="L46" s="162">
        <f>SUM($K$37:K46)</f>
        <v>0</v>
      </c>
    </row>
    <row r="47" spans="2:13" ht="15.75" x14ac:dyDescent="0.25">
      <c r="B47" s="148">
        <v>11</v>
      </c>
      <c r="C47" s="144"/>
      <c r="D47" s="145"/>
      <c r="E47" s="149"/>
      <c r="H47" s="159">
        <f t="shared" si="3"/>
        <v>1400</v>
      </c>
      <c r="I47" s="160" t="str">
        <f t="shared" si="1"/>
        <v>$1,050 to $1,400</v>
      </c>
      <c r="J47" s="154"/>
      <c r="K47" s="161" t="str">
        <f t="shared" si="2"/>
        <v/>
      </c>
      <c r="L47" s="162">
        <f>SUM($K$37:K47)</f>
        <v>0</v>
      </c>
    </row>
    <row r="48" spans="2:13" ht="15.75" x14ac:dyDescent="0.25">
      <c r="B48" s="148">
        <v>12</v>
      </c>
      <c r="C48" s="144"/>
      <c r="D48" s="145"/>
      <c r="E48" s="149"/>
      <c r="H48" s="159">
        <f t="shared" si="3"/>
        <v>1750</v>
      </c>
      <c r="I48" s="160" t="str">
        <f t="shared" si="1"/>
        <v>$1,400 to $1,750</v>
      </c>
      <c r="J48" s="154"/>
      <c r="K48" s="161" t="str">
        <f t="shared" si="2"/>
        <v/>
      </c>
      <c r="L48" s="162">
        <f>SUM($K$37:K48)</f>
        <v>0</v>
      </c>
    </row>
    <row r="49" spans="2:12" ht="15.75" x14ac:dyDescent="0.25">
      <c r="B49" s="148">
        <v>13</v>
      </c>
      <c r="C49" s="144"/>
      <c r="D49" s="145"/>
      <c r="E49" s="149"/>
      <c r="H49" s="159">
        <f t="shared" si="3"/>
        <v>2100</v>
      </c>
      <c r="I49" s="160" t="str">
        <f t="shared" si="1"/>
        <v>$1,750 to $2,100</v>
      </c>
      <c r="J49" s="154"/>
      <c r="K49" s="161" t="str">
        <f t="shared" si="2"/>
        <v/>
      </c>
      <c r="L49" s="162">
        <f>SUM($K$37:K49)</f>
        <v>0</v>
      </c>
    </row>
    <row r="50" spans="2:12" ht="15.75" x14ac:dyDescent="0.25">
      <c r="B50" s="148">
        <v>14</v>
      </c>
      <c r="C50" s="144"/>
      <c r="D50" s="145"/>
      <c r="E50" s="149"/>
      <c r="H50" s="159">
        <f t="shared" si="3"/>
        <v>2450</v>
      </c>
      <c r="I50" s="160" t="str">
        <f t="shared" si="1"/>
        <v>$2,100 to $2,450</v>
      </c>
      <c r="J50" s="154"/>
      <c r="K50" s="161" t="str">
        <f t="shared" si="2"/>
        <v/>
      </c>
      <c r="L50" s="162">
        <f>SUM($K$37:K50)</f>
        <v>0</v>
      </c>
    </row>
    <row r="51" spans="2:12" ht="15.75" x14ac:dyDescent="0.25">
      <c r="B51" s="148">
        <v>15</v>
      </c>
      <c r="C51" s="144"/>
      <c r="D51" s="145"/>
      <c r="E51" s="149"/>
      <c r="H51" s="168">
        <f t="shared" si="3"/>
        <v>2800</v>
      </c>
      <c r="I51" s="160" t="str">
        <f t="shared" si="1"/>
        <v>$2,450 to $2,800</v>
      </c>
      <c r="J51" s="154"/>
      <c r="K51" s="161" t="str">
        <f t="shared" si="2"/>
        <v/>
      </c>
      <c r="L51" s="162">
        <f>SUM($K$37:K51)</f>
        <v>0</v>
      </c>
    </row>
    <row r="52" spans="2:12" ht="15.75" x14ac:dyDescent="0.25">
      <c r="B52" s="148">
        <v>16</v>
      </c>
      <c r="C52" s="144"/>
      <c r="D52" s="145"/>
      <c r="E52" s="149"/>
      <c r="I52" s="169" t="str">
        <f>CONCATENATE("&gt;",TEXT(H51,"$#,##0;[red]($#,##0)"))</f>
        <v>&gt;$2,800</v>
      </c>
      <c r="J52" s="156"/>
      <c r="K52" s="170" t="str">
        <f t="shared" si="2"/>
        <v/>
      </c>
      <c r="L52" s="171">
        <f>SUM($K$37:K52)</f>
        <v>0</v>
      </c>
    </row>
    <row r="53" spans="2:12" ht="15.75" x14ac:dyDescent="0.25">
      <c r="B53" s="148">
        <v>17</v>
      </c>
      <c r="C53" s="144"/>
      <c r="D53" s="145"/>
      <c r="E53" s="149"/>
      <c r="J53" s="156">
        <f>SUM(J37:J52)</f>
        <v>0</v>
      </c>
      <c r="K53" s="171">
        <f>SUM(K37:K52)</f>
        <v>0</v>
      </c>
    </row>
    <row r="54" spans="2:12" ht="15.75" x14ac:dyDescent="0.25">
      <c r="B54" s="148">
        <v>18</v>
      </c>
      <c r="C54" s="144"/>
      <c r="D54" s="145"/>
      <c r="E54" s="149"/>
      <c r="G54" s="150"/>
      <c r="H54" s="150"/>
      <c r="I54" s="150"/>
      <c r="J54" s="150"/>
    </row>
    <row r="55" spans="2:12" ht="15.75" x14ac:dyDescent="0.25">
      <c r="B55" s="148">
        <v>19</v>
      </c>
      <c r="C55" s="144"/>
      <c r="D55" s="145"/>
      <c r="E55" s="149"/>
      <c r="G55" s="150"/>
      <c r="H55" s="150"/>
      <c r="I55" s="150"/>
      <c r="J55" s="150"/>
    </row>
    <row r="56" spans="2:12" ht="15.75" x14ac:dyDescent="0.25">
      <c r="B56" s="148">
        <v>20</v>
      </c>
      <c r="C56" s="144"/>
      <c r="D56" s="145"/>
      <c r="E56" s="149"/>
      <c r="G56" s="150"/>
      <c r="H56" s="150"/>
      <c r="I56" s="150"/>
      <c r="J56" s="150"/>
    </row>
    <row r="57" spans="2:12" ht="15.75" x14ac:dyDescent="0.25">
      <c r="B57" s="148">
        <v>21</v>
      </c>
      <c r="C57" s="144"/>
      <c r="D57" s="145"/>
      <c r="E57" s="149"/>
      <c r="G57" s="150"/>
      <c r="H57" s="150"/>
      <c r="I57" s="150"/>
      <c r="J57" s="150"/>
    </row>
    <row r="58" spans="2:12" ht="15.75" x14ac:dyDescent="0.25">
      <c r="B58" s="148">
        <v>22</v>
      </c>
      <c r="C58" s="144"/>
      <c r="D58" s="145"/>
      <c r="E58" s="149"/>
      <c r="G58" s="150"/>
      <c r="H58" s="150"/>
      <c r="I58" s="150"/>
      <c r="J58" s="150"/>
    </row>
    <row r="59" spans="2:12" ht="15.75" x14ac:dyDescent="0.25">
      <c r="B59" s="148">
        <v>23</v>
      </c>
      <c r="C59" s="144"/>
      <c r="D59" s="145"/>
      <c r="E59" s="149"/>
      <c r="G59" s="150"/>
      <c r="H59" s="150"/>
      <c r="I59" s="150"/>
      <c r="J59" s="150"/>
    </row>
    <row r="60" spans="2:12" ht="15.75" x14ac:dyDescent="0.25">
      <c r="B60" s="148">
        <v>24</v>
      </c>
      <c r="C60" s="144"/>
      <c r="D60" s="145"/>
      <c r="E60" s="149"/>
      <c r="G60" s="150"/>
      <c r="H60" s="150"/>
      <c r="I60" s="150"/>
      <c r="J60" s="150"/>
    </row>
    <row r="61" spans="2:12" ht="15.75" x14ac:dyDescent="0.25">
      <c r="B61" s="148">
        <v>25</v>
      </c>
      <c r="C61" s="144"/>
      <c r="D61" s="145"/>
      <c r="E61" s="149"/>
      <c r="G61" s="150"/>
      <c r="H61" s="150"/>
      <c r="I61" s="150"/>
      <c r="J61" s="150"/>
    </row>
    <row r="62" spans="2:12" ht="15.75" x14ac:dyDescent="0.25">
      <c r="B62" s="148">
        <v>26</v>
      </c>
      <c r="C62" s="144"/>
      <c r="D62" s="145"/>
      <c r="E62" s="149"/>
      <c r="G62" s="150"/>
      <c r="H62" s="150"/>
      <c r="I62" s="150"/>
      <c r="J62" s="150"/>
    </row>
    <row r="63" spans="2:12" ht="15.75" x14ac:dyDescent="0.25">
      <c r="B63" s="148">
        <v>27</v>
      </c>
      <c r="C63" s="144"/>
      <c r="D63" s="145"/>
      <c r="E63" s="149"/>
      <c r="G63" s="150"/>
      <c r="H63" s="150"/>
      <c r="I63" s="150"/>
      <c r="J63" s="150"/>
    </row>
    <row r="64" spans="2:12" ht="15.75" x14ac:dyDescent="0.25">
      <c r="B64" s="148">
        <v>28</v>
      </c>
      <c r="C64" s="144"/>
      <c r="D64" s="145"/>
      <c r="E64" s="149"/>
      <c r="G64" s="150"/>
      <c r="H64" s="150"/>
      <c r="I64" s="150"/>
      <c r="J64" s="150"/>
    </row>
    <row r="65" spans="2:10" ht="15.75" x14ac:dyDescent="0.25">
      <c r="B65" s="148">
        <v>29</v>
      </c>
      <c r="C65" s="144"/>
      <c r="D65" s="145"/>
      <c r="E65" s="149"/>
      <c r="G65" s="150"/>
      <c r="H65" s="150"/>
      <c r="I65" s="150"/>
      <c r="J65" s="150"/>
    </row>
    <row r="66" spans="2:10" ht="15.75" x14ac:dyDescent="0.25">
      <c r="B66" s="148">
        <v>30</v>
      </c>
      <c r="C66" s="144"/>
      <c r="D66" s="145"/>
      <c r="E66" s="149"/>
      <c r="G66" s="150"/>
      <c r="H66" s="150"/>
      <c r="I66" s="150"/>
      <c r="J66" s="150"/>
    </row>
    <row r="67" spans="2:10" ht="15.75" x14ac:dyDescent="0.25">
      <c r="B67" s="148">
        <v>31</v>
      </c>
      <c r="C67" s="144"/>
      <c r="D67" s="145"/>
      <c r="E67" s="149"/>
      <c r="G67" s="150"/>
      <c r="H67" s="150"/>
      <c r="I67" s="150"/>
      <c r="J67" s="150"/>
    </row>
    <row r="68" spans="2:10" ht="15.75" x14ac:dyDescent="0.25">
      <c r="B68" s="148">
        <v>32</v>
      </c>
      <c r="C68" s="144"/>
      <c r="D68" s="145"/>
      <c r="E68" s="149"/>
      <c r="G68" s="150"/>
      <c r="H68" s="150"/>
      <c r="I68" s="150"/>
      <c r="J68" s="150"/>
    </row>
    <row r="69" spans="2:10" ht="15.75" x14ac:dyDescent="0.25">
      <c r="B69" s="148">
        <v>33</v>
      </c>
      <c r="C69" s="144"/>
      <c r="D69" s="145"/>
      <c r="E69" s="149"/>
      <c r="G69" s="150"/>
      <c r="H69" s="150"/>
      <c r="I69" s="150"/>
      <c r="J69" s="150"/>
    </row>
    <row r="70" spans="2:10" ht="15.75" x14ac:dyDescent="0.25">
      <c r="B70" s="148">
        <v>34</v>
      </c>
      <c r="C70" s="144"/>
      <c r="D70" s="145"/>
      <c r="E70" s="149"/>
      <c r="G70" s="150"/>
      <c r="H70" s="150"/>
      <c r="I70" s="150"/>
      <c r="J70" s="150"/>
    </row>
    <row r="71" spans="2:10" ht="15.75" x14ac:dyDescent="0.25">
      <c r="B71" s="148">
        <v>35</v>
      </c>
      <c r="C71" s="144"/>
      <c r="D71" s="145"/>
      <c r="E71" s="149"/>
      <c r="G71" s="150"/>
      <c r="H71" s="150"/>
      <c r="I71" s="150"/>
      <c r="J71" s="150"/>
    </row>
    <row r="72" spans="2:10" ht="15.75" x14ac:dyDescent="0.25">
      <c r="B72" s="148">
        <v>36</v>
      </c>
      <c r="C72" s="144"/>
      <c r="D72" s="145"/>
      <c r="E72" s="149"/>
      <c r="G72" s="150"/>
      <c r="H72" s="150"/>
      <c r="I72" s="150"/>
      <c r="J72" s="150"/>
    </row>
    <row r="73" spans="2:10" ht="15.75" x14ac:dyDescent="0.25">
      <c r="B73" s="148">
        <v>37</v>
      </c>
      <c r="C73" s="144"/>
      <c r="D73" s="145"/>
      <c r="E73" s="149"/>
      <c r="G73" s="150"/>
      <c r="H73" s="150"/>
      <c r="I73" s="150"/>
      <c r="J73" s="150"/>
    </row>
    <row r="74" spans="2:10" ht="15.75" x14ac:dyDescent="0.25">
      <c r="B74" s="148">
        <v>38</v>
      </c>
      <c r="C74" s="144"/>
      <c r="D74" s="145"/>
      <c r="E74" s="149"/>
      <c r="G74" s="150"/>
      <c r="H74" s="150"/>
      <c r="I74" s="150"/>
      <c r="J74" s="150"/>
    </row>
    <row r="75" spans="2:10" ht="15.75" x14ac:dyDescent="0.25">
      <c r="B75" s="148">
        <v>39</v>
      </c>
      <c r="C75" s="144"/>
      <c r="D75" s="145"/>
      <c r="E75" s="149"/>
      <c r="G75" s="150"/>
      <c r="H75" s="150"/>
      <c r="I75" s="150"/>
      <c r="J75" s="150"/>
    </row>
    <row r="76" spans="2:10" ht="15.75" x14ac:dyDescent="0.25">
      <c r="B76" s="148">
        <v>40</v>
      </c>
      <c r="C76" s="144"/>
      <c r="D76" s="145"/>
      <c r="E76" s="149"/>
      <c r="G76" s="150"/>
      <c r="H76" s="150"/>
      <c r="I76" s="150"/>
      <c r="J76" s="150"/>
    </row>
    <row r="77" spans="2:10" ht="15.75" x14ac:dyDescent="0.25">
      <c r="B77" s="148">
        <v>41</v>
      </c>
      <c r="C77" s="144"/>
      <c r="D77" s="145"/>
      <c r="E77" s="149"/>
      <c r="G77" s="150"/>
      <c r="H77" s="150"/>
      <c r="I77" s="150"/>
      <c r="J77" s="150"/>
    </row>
    <row r="78" spans="2:10" ht="15.75" x14ac:dyDescent="0.25">
      <c r="B78" s="148">
        <v>42</v>
      </c>
      <c r="C78" s="144"/>
      <c r="D78" s="145"/>
      <c r="E78" s="149"/>
      <c r="G78" s="150"/>
      <c r="H78" s="150"/>
      <c r="I78" s="150"/>
      <c r="J78" s="150"/>
    </row>
    <row r="79" spans="2:10" ht="15.75" x14ac:dyDescent="0.25">
      <c r="B79" s="148">
        <v>43</v>
      </c>
      <c r="C79" s="144"/>
      <c r="D79" s="145"/>
      <c r="E79" s="149"/>
      <c r="G79" s="150"/>
      <c r="H79" s="150"/>
      <c r="I79" s="150"/>
      <c r="J79" s="150"/>
    </row>
    <row r="80" spans="2:10" ht="15.75" x14ac:dyDescent="0.25">
      <c r="B80" s="148">
        <v>44</v>
      </c>
      <c r="C80" s="144"/>
      <c r="D80" s="145"/>
      <c r="E80" s="149"/>
      <c r="G80" s="150"/>
      <c r="H80" s="150"/>
      <c r="I80" s="150"/>
      <c r="J80" s="150"/>
    </row>
    <row r="81" spans="2:10" ht="15.75" x14ac:dyDescent="0.25">
      <c r="B81" s="148">
        <v>45</v>
      </c>
      <c r="C81" s="144"/>
      <c r="D81" s="145"/>
      <c r="E81" s="149"/>
      <c r="G81" s="150"/>
      <c r="H81" s="150"/>
      <c r="I81" s="150"/>
      <c r="J81" s="150"/>
    </row>
    <row r="82" spans="2:10" ht="15.75" x14ac:dyDescent="0.25">
      <c r="B82" s="148">
        <v>46</v>
      </c>
      <c r="C82" s="144"/>
      <c r="D82" s="145"/>
      <c r="E82" s="149"/>
      <c r="G82" s="150"/>
      <c r="H82" s="150"/>
      <c r="I82" s="150"/>
      <c r="J82" s="150"/>
    </row>
    <row r="83" spans="2:10" ht="15.75" x14ac:dyDescent="0.25">
      <c r="B83" s="148">
        <v>47</v>
      </c>
      <c r="C83" s="144"/>
      <c r="D83" s="145"/>
      <c r="E83" s="149"/>
      <c r="G83" s="150"/>
      <c r="H83" s="150"/>
      <c r="I83" s="150"/>
      <c r="J83" s="150"/>
    </row>
    <row r="84" spans="2:10" ht="15.75" x14ac:dyDescent="0.25">
      <c r="B84" s="148">
        <v>48</v>
      </c>
      <c r="C84" s="144"/>
      <c r="D84" s="145"/>
      <c r="E84" s="149"/>
      <c r="G84" s="150"/>
      <c r="H84" s="150"/>
      <c r="I84" s="150"/>
      <c r="J84" s="150"/>
    </row>
    <row r="85" spans="2:10" ht="15.75" x14ac:dyDescent="0.25">
      <c r="B85" s="148">
        <v>49</v>
      </c>
      <c r="C85" s="144"/>
      <c r="D85" s="145"/>
      <c r="E85" s="149"/>
      <c r="G85" s="150"/>
      <c r="H85" s="150"/>
      <c r="I85" s="150"/>
      <c r="J85" s="150"/>
    </row>
    <row r="86" spans="2:10" ht="15.75" x14ac:dyDescent="0.25">
      <c r="B86" s="148">
        <v>50</v>
      </c>
      <c r="C86" s="144"/>
      <c r="D86" s="145"/>
      <c r="E86" s="149"/>
      <c r="G86" s="150"/>
      <c r="H86" s="150"/>
      <c r="I86" s="150"/>
      <c r="J86" s="150"/>
    </row>
    <row r="87" spans="2:10" ht="15.75" x14ac:dyDescent="0.25">
      <c r="B87" s="148">
        <v>51</v>
      </c>
      <c r="C87" s="144"/>
      <c r="D87" s="145"/>
      <c r="E87" s="149"/>
      <c r="G87" s="150"/>
      <c r="H87" s="150"/>
      <c r="I87" s="150"/>
      <c r="J87" s="150"/>
    </row>
    <row r="88" spans="2:10" ht="15.75" x14ac:dyDescent="0.25">
      <c r="B88" s="148">
        <v>52</v>
      </c>
      <c r="C88" s="144"/>
      <c r="D88" s="145"/>
      <c r="E88" s="149"/>
      <c r="G88" s="150"/>
      <c r="H88" s="150"/>
      <c r="I88" s="150"/>
      <c r="J88" s="150"/>
    </row>
    <row r="89" spans="2:10" ht="15.75" x14ac:dyDescent="0.25">
      <c r="B89" s="148">
        <v>53</v>
      </c>
      <c r="C89" s="144"/>
      <c r="D89" s="145"/>
      <c r="E89" s="149"/>
      <c r="G89" s="150"/>
      <c r="H89" s="150"/>
      <c r="I89" s="150"/>
      <c r="J89" s="150"/>
    </row>
    <row r="90" spans="2:10" ht="15.75" x14ac:dyDescent="0.25">
      <c r="B90" s="148">
        <v>54</v>
      </c>
      <c r="C90" s="144"/>
      <c r="D90" s="145"/>
      <c r="E90" s="149"/>
      <c r="G90" s="150"/>
      <c r="H90" s="150"/>
      <c r="I90" s="150"/>
      <c r="J90" s="150"/>
    </row>
    <row r="91" spans="2:10" ht="15.75" x14ac:dyDescent="0.25">
      <c r="B91" s="148">
        <v>55</v>
      </c>
      <c r="C91" s="144"/>
      <c r="D91" s="145"/>
      <c r="E91" s="149"/>
      <c r="G91" s="150"/>
      <c r="H91" s="150"/>
      <c r="I91" s="150"/>
      <c r="J91" s="150"/>
    </row>
    <row r="92" spans="2:10" ht="15.75" x14ac:dyDescent="0.25">
      <c r="B92" s="148">
        <v>56</v>
      </c>
      <c r="C92" s="144"/>
      <c r="D92" s="145"/>
      <c r="E92" s="149"/>
      <c r="G92" s="150"/>
      <c r="H92" s="150"/>
      <c r="I92" s="150"/>
      <c r="J92" s="150"/>
    </row>
    <row r="93" spans="2:10" ht="15.75" x14ac:dyDescent="0.25">
      <c r="B93" s="148">
        <v>57</v>
      </c>
      <c r="C93" s="144"/>
      <c r="D93" s="145"/>
      <c r="E93" s="149"/>
      <c r="G93" s="150"/>
      <c r="H93" s="150"/>
      <c r="I93" s="150"/>
      <c r="J93" s="150"/>
    </row>
    <row r="94" spans="2:10" ht="15.75" x14ac:dyDescent="0.25">
      <c r="B94" s="148">
        <v>58</v>
      </c>
      <c r="C94" s="144"/>
      <c r="D94" s="145"/>
      <c r="E94" s="149"/>
      <c r="G94" s="150"/>
      <c r="H94" s="150"/>
      <c r="I94" s="150"/>
      <c r="J94" s="150"/>
    </row>
    <row r="95" spans="2:10" ht="15.75" x14ac:dyDescent="0.25">
      <c r="B95" s="148">
        <v>59</v>
      </c>
      <c r="C95" s="144"/>
      <c r="D95" s="145"/>
      <c r="E95" s="149"/>
      <c r="G95" s="150"/>
      <c r="H95" s="150"/>
      <c r="I95" s="150"/>
      <c r="J95" s="150"/>
    </row>
    <row r="96" spans="2:10" ht="15.75" x14ac:dyDescent="0.25">
      <c r="B96" s="148">
        <v>60</v>
      </c>
      <c r="C96" s="144"/>
      <c r="D96" s="145"/>
      <c r="E96" s="149"/>
      <c r="G96" s="150"/>
      <c r="H96" s="150"/>
      <c r="I96" s="150"/>
      <c r="J96" s="150"/>
    </row>
    <row r="97" spans="2:10" ht="15.75" x14ac:dyDescent="0.25">
      <c r="B97" s="148">
        <v>61</v>
      </c>
      <c r="C97" s="144"/>
      <c r="D97" s="145"/>
      <c r="E97" s="149"/>
      <c r="G97" s="150"/>
      <c r="H97" s="150"/>
      <c r="I97" s="150"/>
      <c r="J97" s="150"/>
    </row>
    <row r="98" spans="2:10" ht="15.75" x14ac:dyDescent="0.25">
      <c r="B98" s="148">
        <v>62</v>
      </c>
      <c r="C98" s="144"/>
      <c r="D98" s="145"/>
      <c r="E98" s="149"/>
      <c r="G98" s="150"/>
      <c r="H98" s="150"/>
      <c r="I98" s="150"/>
      <c r="J98" s="150"/>
    </row>
    <row r="99" spans="2:10" ht="15.75" x14ac:dyDescent="0.25">
      <c r="B99" s="148">
        <v>63</v>
      </c>
      <c r="C99" s="144"/>
      <c r="D99" s="145"/>
      <c r="E99" s="149"/>
      <c r="G99" s="150"/>
      <c r="H99" s="150"/>
      <c r="I99" s="150"/>
      <c r="J99" s="150"/>
    </row>
    <row r="100" spans="2:10" ht="15.75" x14ac:dyDescent="0.25">
      <c r="B100" s="148">
        <v>64</v>
      </c>
      <c r="C100" s="144"/>
      <c r="D100" s="145"/>
      <c r="E100" s="149"/>
      <c r="G100" s="150"/>
      <c r="H100" s="150"/>
      <c r="I100" s="150"/>
      <c r="J100" s="150"/>
    </row>
    <row r="101" spans="2:10" ht="15.75" x14ac:dyDescent="0.25">
      <c r="B101" s="148">
        <v>65</v>
      </c>
      <c r="C101" s="144"/>
      <c r="D101" s="145"/>
      <c r="E101" s="149"/>
      <c r="G101" s="150"/>
      <c r="H101" s="150"/>
      <c r="I101" s="150"/>
      <c r="J101" s="150"/>
    </row>
    <row r="102" spans="2:10" ht="15.75" x14ac:dyDescent="0.25">
      <c r="B102" s="148">
        <v>66</v>
      </c>
      <c r="C102" s="144"/>
      <c r="D102" s="145"/>
      <c r="E102" s="149"/>
      <c r="G102" s="150"/>
      <c r="H102" s="150"/>
      <c r="I102" s="150"/>
      <c r="J102" s="150"/>
    </row>
    <row r="103" spans="2:10" ht="15.75" x14ac:dyDescent="0.25">
      <c r="B103" s="148">
        <v>67</v>
      </c>
      <c r="C103" s="144"/>
      <c r="D103" s="145"/>
      <c r="E103" s="149"/>
      <c r="G103" s="150"/>
      <c r="H103" s="150"/>
      <c r="I103" s="150"/>
      <c r="J103" s="150"/>
    </row>
    <row r="104" spans="2:10" ht="15.75" x14ac:dyDescent="0.25">
      <c r="B104" s="148">
        <v>68</v>
      </c>
      <c r="C104" s="144"/>
      <c r="D104" s="145"/>
      <c r="E104" s="149"/>
      <c r="G104" s="150"/>
      <c r="H104" s="150"/>
      <c r="I104" s="150"/>
      <c r="J104" s="150"/>
    </row>
    <row r="105" spans="2:10" ht="15.75" x14ac:dyDescent="0.25">
      <c r="B105" s="148">
        <v>69</v>
      </c>
      <c r="C105" s="144"/>
      <c r="D105" s="145"/>
      <c r="E105" s="149"/>
      <c r="G105" s="150"/>
      <c r="H105" s="150"/>
      <c r="I105" s="150"/>
      <c r="J105" s="150"/>
    </row>
    <row r="106" spans="2:10" ht="15.75" x14ac:dyDescent="0.25">
      <c r="B106" s="148">
        <v>70</v>
      </c>
      <c r="C106" s="144"/>
      <c r="D106" s="145"/>
      <c r="E106" s="149"/>
      <c r="G106" s="150"/>
      <c r="H106" s="150"/>
      <c r="I106" s="150"/>
      <c r="J106" s="150"/>
    </row>
    <row r="107" spans="2:10" ht="15.75" x14ac:dyDescent="0.25">
      <c r="B107" s="148">
        <v>71</v>
      </c>
      <c r="C107" s="144"/>
      <c r="D107" s="145"/>
      <c r="E107" s="149"/>
      <c r="G107" s="150"/>
      <c r="H107" s="150"/>
      <c r="I107" s="150"/>
      <c r="J107" s="150"/>
    </row>
    <row r="108" spans="2:10" ht="15.75" x14ac:dyDescent="0.25">
      <c r="B108" s="148">
        <v>72</v>
      </c>
      <c r="C108" s="144"/>
      <c r="D108" s="145"/>
      <c r="E108" s="149"/>
      <c r="G108" s="150"/>
      <c r="H108" s="150"/>
      <c r="I108" s="150"/>
      <c r="J108" s="150"/>
    </row>
    <row r="109" spans="2:10" ht="15.75" x14ac:dyDescent="0.25">
      <c r="B109" s="148">
        <v>73</v>
      </c>
      <c r="C109" s="144"/>
      <c r="D109" s="145"/>
      <c r="E109" s="149"/>
      <c r="G109" s="150"/>
      <c r="H109" s="150"/>
      <c r="I109" s="150"/>
      <c r="J109" s="150"/>
    </row>
    <row r="110" spans="2:10" ht="15.75" x14ac:dyDescent="0.25">
      <c r="B110" s="148">
        <v>74</v>
      </c>
      <c r="C110" s="144"/>
      <c r="D110" s="145"/>
      <c r="E110" s="149"/>
      <c r="G110" s="150"/>
      <c r="H110" s="150"/>
      <c r="I110" s="150"/>
      <c r="J110" s="150"/>
    </row>
    <row r="111" spans="2:10" ht="15.75" x14ac:dyDescent="0.25">
      <c r="B111" s="148">
        <v>75</v>
      </c>
      <c r="C111" s="144"/>
      <c r="D111" s="145"/>
      <c r="E111" s="149"/>
      <c r="G111" s="150"/>
      <c r="H111" s="150"/>
      <c r="I111" s="150"/>
      <c r="J111" s="150"/>
    </row>
    <row r="112" spans="2:10" ht="15.75" x14ac:dyDescent="0.25">
      <c r="B112" s="148">
        <v>76</v>
      </c>
      <c r="C112" s="144"/>
      <c r="D112" s="145"/>
      <c r="E112" s="149"/>
      <c r="G112" s="150"/>
      <c r="H112" s="150"/>
      <c r="I112" s="150"/>
      <c r="J112" s="150"/>
    </row>
    <row r="113" spans="2:10" ht="15.75" x14ac:dyDescent="0.25">
      <c r="B113" s="148">
        <v>77</v>
      </c>
      <c r="C113" s="144"/>
      <c r="D113" s="145"/>
      <c r="E113" s="149"/>
      <c r="G113" s="150"/>
      <c r="H113" s="150"/>
      <c r="I113" s="150"/>
      <c r="J113" s="150"/>
    </row>
    <row r="114" spans="2:10" ht="15.75" x14ac:dyDescent="0.25">
      <c r="B114" s="148">
        <v>78</v>
      </c>
      <c r="C114" s="144"/>
      <c r="D114" s="145"/>
      <c r="E114" s="149"/>
      <c r="G114" s="150"/>
      <c r="H114" s="150"/>
      <c r="I114" s="150"/>
      <c r="J114" s="150"/>
    </row>
    <row r="115" spans="2:10" ht="15.75" x14ac:dyDescent="0.25">
      <c r="B115" s="148">
        <v>79</v>
      </c>
      <c r="C115" s="144"/>
      <c r="D115" s="145"/>
      <c r="E115" s="149"/>
      <c r="G115" s="150"/>
      <c r="H115" s="150"/>
      <c r="I115" s="150"/>
      <c r="J115" s="150"/>
    </row>
    <row r="116" spans="2:10" ht="15.75" x14ac:dyDescent="0.25">
      <c r="B116" s="148">
        <v>80</v>
      </c>
      <c r="C116" s="144"/>
      <c r="D116" s="145"/>
      <c r="E116" s="149"/>
      <c r="G116" s="150"/>
      <c r="H116" s="150"/>
      <c r="I116" s="150"/>
      <c r="J116" s="150"/>
    </row>
    <row r="117" spans="2:10" ht="15.75" x14ac:dyDescent="0.25">
      <c r="B117" s="148">
        <v>81</v>
      </c>
      <c r="C117" s="144"/>
      <c r="D117" s="145"/>
      <c r="E117" s="149"/>
      <c r="G117" s="150"/>
      <c r="H117" s="150"/>
      <c r="I117" s="150"/>
      <c r="J117" s="150"/>
    </row>
    <row r="118" spans="2:10" ht="15.75" x14ac:dyDescent="0.25">
      <c r="B118" s="148">
        <v>82</v>
      </c>
      <c r="C118" s="144"/>
      <c r="D118" s="145"/>
      <c r="E118" s="149"/>
      <c r="G118" s="150"/>
      <c r="H118" s="150"/>
      <c r="I118" s="150"/>
      <c r="J118" s="150"/>
    </row>
    <row r="119" spans="2:10" ht="15.75" x14ac:dyDescent="0.25">
      <c r="B119" s="148">
        <v>83</v>
      </c>
      <c r="C119" s="144"/>
      <c r="D119" s="145"/>
      <c r="E119" s="149"/>
      <c r="G119" s="150"/>
      <c r="H119" s="150"/>
      <c r="I119" s="150"/>
      <c r="J119" s="150"/>
    </row>
    <row r="120" spans="2:10" ht="15.75" x14ac:dyDescent="0.25">
      <c r="B120" s="148">
        <v>84</v>
      </c>
      <c r="C120" s="144"/>
      <c r="D120" s="145"/>
      <c r="E120" s="149"/>
      <c r="G120" s="150"/>
      <c r="H120" s="150"/>
      <c r="I120" s="150"/>
      <c r="J120" s="150"/>
    </row>
    <row r="121" spans="2:10" ht="15.75" x14ac:dyDescent="0.25">
      <c r="B121" s="148">
        <v>85</v>
      </c>
      <c r="C121" s="144"/>
      <c r="D121" s="145"/>
      <c r="E121" s="149"/>
      <c r="G121" s="150"/>
      <c r="H121" s="150"/>
      <c r="I121" s="150"/>
      <c r="J121" s="150"/>
    </row>
    <row r="122" spans="2:10" ht="15.75" x14ac:dyDescent="0.25">
      <c r="B122" s="148">
        <v>86</v>
      </c>
      <c r="C122" s="144"/>
      <c r="D122" s="145"/>
      <c r="E122" s="149"/>
      <c r="G122" s="150"/>
      <c r="H122" s="150"/>
      <c r="I122" s="150"/>
      <c r="J122" s="150"/>
    </row>
    <row r="123" spans="2:10" ht="15.75" x14ac:dyDescent="0.25">
      <c r="B123" s="148">
        <v>87</v>
      </c>
      <c r="C123" s="144"/>
      <c r="D123" s="145"/>
      <c r="E123" s="149"/>
      <c r="G123" s="150"/>
      <c r="H123" s="150"/>
      <c r="I123" s="150"/>
      <c r="J123" s="150"/>
    </row>
    <row r="124" spans="2:10" ht="15.75" x14ac:dyDescent="0.25">
      <c r="B124" s="148">
        <v>88</v>
      </c>
      <c r="C124" s="144"/>
      <c r="D124" s="145"/>
      <c r="E124" s="149"/>
      <c r="G124" s="150"/>
      <c r="H124" s="150"/>
      <c r="I124" s="150"/>
      <c r="J124" s="150"/>
    </row>
    <row r="125" spans="2:10" ht="15.75" x14ac:dyDescent="0.25">
      <c r="B125" s="148">
        <v>89</v>
      </c>
      <c r="C125" s="144"/>
      <c r="D125" s="145"/>
      <c r="E125" s="149"/>
      <c r="G125" s="150"/>
      <c r="H125" s="150"/>
      <c r="I125" s="150"/>
      <c r="J125" s="150"/>
    </row>
    <row r="126" spans="2:10" ht="15.75" x14ac:dyDescent="0.25">
      <c r="B126" s="148">
        <v>90</v>
      </c>
      <c r="C126" s="144"/>
      <c r="D126" s="145"/>
      <c r="E126" s="149"/>
      <c r="G126" s="150"/>
      <c r="H126" s="150"/>
      <c r="I126" s="150"/>
      <c r="J126" s="150"/>
    </row>
    <row r="127" spans="2:10" ht="15.75" x14ac:dyDescent="0.25">
      <c r="B127" s="148">
        <v>91</v>
      </c>
      <c r="C127" s="144"/>
      <c r="D127" s="145"/>
      <c r="E127" s="149"/>
      <c r="G127" s="150"/>
      <c r="H127" s="150"/>
      <c r="I127" s="150"/>
      <c r="J127" s="150"/>
    </row>
    <row r="128" spans="2:10" ht="15.75" x14ac:dyDescent="0.25">
      <c r="B128" s="148">
        <v>92</v>
      </c>
      <c r="C128" s="144"/>
      <c r="D128" s="145"/>
      <c r="E128" s="149"/>
      <c r="G128" s="150"/>
      <c r="H128" s="150"/>
      <c r="I128" s="150"/>
      <c r="J128" s="150"/>
    </row>
    <row r="129" spans="2:10" ht="15.75" x14ac:dyDescent="0.25">
      <c r="B129" s="148">
        <v>93</v>
      </c>
      <c r="C129" s="144"/>
      <c r="D129" s="145"/>
      <c r="E129" s="149"/>
      <c r="G129" s="150"/>
      <c r="H129" s="150"/>
      <c r="I129" s="150"/>
      <c r="J129" s="150"/>
    </row>
    <row r="130" spans="2:10" ht="15.75" x14ac:dyDescent="0.25">
      <c r="B130" s="148">
        <v>94</v>
      </c>
      <c r="C130" s="144"/>
      <c r="D130" s="145"/>
      <c r="E130" s="149"/>
      <c r="G130" s="150"/>
      <c r="H130" s="150"/>
      <c r="I130" s="150"/>
      <c r="J130" s="150"/>
    </row>
    <row r="131" spans="2:10" ht="15.75" x14ac:dyDescent="0.25">
      <c r="B131" s="148">
        <v>95</v>
      </c>
      <c r="C131" s="144"/>
      <c r="D131" s="145"/>
      <c r="E131" s="149"/>
      <c r="G131" s="150"/>
      <c r="H131" s="150"/>
      <c r="I131" s="150"/>
      <c r="J131" s="150"/>
    </row>
    <row r="132" spans="2:10" ht="15.75" x14ac:dyDescent="0.25">
      <c r="B132" s="148">
        <v>96</v>
      </c>
      <c r="C132" s="144"/>
      <c r="D132" s="145"/>
      <c r="E132" s="149"/>
      <c r="G132" s="150"/>
      <c r="H132" s="150"/>
      <c r="I132" s="150"/>
      <c r="J132" s="150"/>
    </row>
    <row r="133" spans="2:10" ht="15.75" x14ac:dyDescent="0.25">
      <c r="B133" s="148">
        <v>97</v>
      </c>
      <c r="C133" s="144"/>
      <c r="D133" s="145"/>
      <c r="E133" s="149"/>
      <c r="G133" s="150"/>
      <c r="H133" s="150"/>
      <c r="I133" s="150"/>
      <c r="J133" s="150"/>
    </row>
    <row r="134" spans="2:10" ht="15.75" x14ac:dyDescent="0.25">
      <c r="B134" s="148">
        <v>98</v>
      </c>
      <c r="C134" s="144"/>
      <c r="D134" s="145"/>
      <c r="E134" s="149"/>
      <c r="G134" s="150"/>
      <c r="H134" s="150"/>
      <c r="I134" s="150"/>
      <c r="J134" s="150"/>
    </row>
    <row r="135" spans="2:10" ht="15.75" x14ac:dyDescent="0.25">
      <c r="B135" s="148">
        <v>99</v>
      </c>
      <c r="C135" s="144"/>
      <c r="D135" s="145"/>
      <c r="E135" s="149"/>
      <c r="G135" s="150"/>
      <c r="H135" s="150"/>
      <c r="I135" s="150"/>
      <c r="J135" s="150"/>
    </row>
    <row r="136" spans="2:10" ht="15.75" x14ac:dyDescent="0.25">
      <c r="B136" s="148">
        <v>100</v>
      </c>
      <c r="C136" s="144"/>
      <c r="D136" s="145"/>
      <c r="E136" s="149"/>
      <c r="G136" s="150"/>
      <c r="H136" s="150"/>
      <c r="I136" s="150"/>
      <c r="J136" s="150"/>
    </row>
    <row r="137" spans="2:10" ht="15.75" x14ac:dyDescent="0.25">
      <c r="B137" s="148">
        <v>101</v>
      </c>
      <c r="C137" s="144"/>
      <c r="D137" s="145"/>
      <c r="E137" s="149"/>
      <c r="G137" s="150"/>
      <c r="H137" s="150"/>
      <c r="I137" s="150"/>
      <c r="J137" s="150"/>
    </row>
    <row r="138" spans="2:10" ht="15.75" x14ac:dyDescent="0.25">
      <c r="B138" s="148">
        <v>102</v>
      </c>
      <c r="C138" s="144"/>
      <c r="D138" s="145"/>
      <c r="E138" s="149"/>
      <c r="G138" s="150"/>
      <c r="H138" s="150"/>
      <c r="I138" s="150"/>
      <c r="J138" s="150"/>
    </row>
    <row r="139" spans="2:10" ht="15.75" x14ac:dyDescent="0.25">
      <c r="B139" s="148">
        <v>103</v>
      </c>
      <c r="C139" s="144"/>
      <c r="D139" s="145"/>
      <c r="E139" s="149"/>
      <c r="G139" s="150"/>
      <c r="H139" s="150"/>
      <c r="I139" s="150"/>
      <c r="J139" s="150"/>
    </row>
    <row r="140" spans="2:10" ht="15.75" x14ac:dyDescent="0.25">
      <c r="B140" s="148">
        <v>104</v>
      </c>
      <c r="C140" s="144"/>
      <c r="D140" s="145"/>
      <c r="E140" s="149"/>
      <c r="G140" s="150"/>
      <c r="H140" s="150"/>
      <c r="I140" s="150"/>
      <c r="J140" s="150"/>
    </row>
    <row r="141" spans="2:10" ht="15.75" x14ac:dyDescent="0.25">
      <c r="B141" s="148">
        <v>105</v>
      </c>
      <c r="C141" s="144"/>
      <c r="D141" s="145"/>
      <c r="E141" s="149"/>
      <c r="G141" s="150"/>
      <c r="H141" s="150"/>
      <c r="I141" s="150"/>
      <c r="J141" s="150"/>
    </row>
    <row r="142" spans="2:10" ht="15.75" x14ac:dyDescent="0.25">
      <c r="B142" s="148">
        <v>106</v>
      </c>
      <c r="C142" s="144"/>
      <c r="D142" s="145"/>
      <c r="E142" s="149"/>
      <c r="G142" s="150"/>
      <c r="H142" s="150"/>
      <c r="I142" s="150"/>
      <c r="J142" s="150"/>
    </row>
    <row r="143" spans="2:10" ht="15.75" x14ac:dyDescent="0.25">
      <c r="B143" s="148">
        <v>107</v>
      </c>
      <c r="C143" s="144"/>
      <c r="D143" s="145"/>
      <c r="E143" s="149"/>
      <c r="G143" s="150"/>
      <c r="H143" s="150"/>
      <c r="I143" s="150"/>
      <c r="J143" s="150"/>
    </row>
    <row r="144" spans="2:10" ht="15.75" x14ac:dyDescent="0.25">
      <c r="B144" s="148">
        <v>108</v>
      </c>
      <c r="C144" s="144"/>
      <c r="D144" s="145"/>
      <c r="E144" s="149"/>
      <c r="G144" s="150"/>
      <c r="H144" s="150"/>
      <c r="I144" s="150"/>
      <c r="J144" s="150"/>
    </row>
    <row r="145" spans="2:10" ht="15.75" x14ac:dyDescent="0.25">
      <c r="B145" s="148">
        <v>109</v>
      </c>
      <c r="C145" s="144"/>
      <c r="D145" s="145"/>
      <c r="E145" s="149"/>
      <c r="G145" s="150"/>
      <c r="H145" s="150"/>
      <c r="I145" s="150"/>
      <c r="J145" s="150"/>
    </row>
    <row r="146" spans="2:10" ht="15.75" x14ac:dyDescent="0.25">
      <c r="B146" s="148">
        <v>110</v>
      </c>
      <c r="C146" s="144"/>
      <c r="D146" s="145"/>
      <c r="E146" s="149"/>
      <c r="G146" s="150"/>
      <c r="H146" s="150"/>
      <c r="I146" s="150"/>
      <c r="J146" s="150"/>
    </row>
    <row r="147" spans="2:10" ht="15.75" x14ac:dyDescent="0.25">
      <c r="B147" s="148">
        <v>111</v>
      </c>
      <c r="C147" s="144"/>
      <c r="D147" s="145"/>
      <c r="E147" s="149"/>
      <c r="G147" s="150"/>
      <c r="H147" s="150"/>
      <c r="I147" s="150"/>
      <c r="J147" s="150"/>
    </row>
    <row r="148" spans="2:10" ht="15.75" x14ac:dyDescent="0.25">
      <c r="B148" s="148">
        <v>112</v>
      </c>
      <c r="C148" s="144"/>
      <c r="D148" s="145"/>
      <c r="E148" s="149"/>
      <c r="G148" s="150"/>
      <c r="H148" s="150"/>
      <c r="I148" s="150"/>
      <c r="J148" s="150"/>
    </row>
    <row r="149" spans="2:10" ht="15.75" x14ac:dyDescent="0.25">
      <c r="B149" s="148">
        <v>113</v>
      </c>
      <c r="C149" s="144"/>
      <c r="D149" s="145"/>
      <c r="E149" s="149"/>
      <c r="G149" s="150"/>
      <c r="H149" s="150"/>
      <c r="I149" s="150"/>
      <c r="J149" s="150"/>
    </row>
    <row r="150" spans="2:10" ht="15.75" x14ac:dyDescent="0.25">
      <c r="B150" s="148">
        <v>114</v>
      </c>
      <c r="C150" s="144"/>
      <c r="D150" s="145"/>
      <c r="E150" s="149"/>
      <c r="G150" s="150"/>
      <c r="H150" s="150"/>
      <c r="I150" s="150"/>
      <c r="J150" s="150"/>
    </row>
    <row r="151" spans="2:10" ht="15.75" x14ac:dyDescent="0.25">
      <c r="B151" s="148">
        <v>115</v>
      </c>
      <c r="C151" s="144"/>
      <c r="D151" s="145"/>
      <c r="E151" s="149"/>
      <c r="G151" s="150"/>
      <c r="H151" s="150"/>
      <c r="I151" s="150"/>
      <c r="J151" s="150"/>
    </row>
    <row r="152" spans="2:10" ht="15.75" x14ac:dyDescent="0.25">
      <c r="B152" s="148">
        <v>116</v>
      </c>
      <c r="C152" s="144"/>
      <c r="D152" s="145"/>
      <c r="E152" s="149"/>
      <c r="G152" s="150"/>
      <c r="H152" s="150"/>
      <c r="I152" s="150"/>
      <c r="J152" s="150"/>
    </row>
    <row r="153" spans="2:10" ht="15.75" x14ac:dyDescent="0.25">
      <c r="B153" s="148">
        <v>117</v>
      </c>
      <c r="C153" s="144"/>
      <c r="D153" s="145"/>
      <c r="E153" s="149"/>
      <c r="G153" s="150"/>
      <c r="H153" s="150"/>
      <c r="I153" s="150"/>
      <c r="J153" s="150"/>
    </row>
    <row r="154" spans="2:10" ht="15.75" x14ac:dyDescent="0.25">
      <c r="B154" s="148">
        <v>118</v>
      </c>
      <c r="C154" s="144"/>
      <c r="D154" s="145"/>
      <c r="E154" s="149"/>
      <c r="G154" s="150"/>
      <c r="H154" s="150"/>
      <c r="I154" s="150"/>
      <c r="J154" s="150"/>
    </row>
    <row r="155" spans="2:10" ht="15.75" x14ac:dyDescent="0.25">
      <c r="B155" s="148">
        <v>119</v>
      </c>
      <c r="C155" s="144"/>
      <c r="D155" s="145"/>
      <c r="E155" s="149"/>
      <c r="G155" s="150"/>
      <c r="H155" s="150"/>
      <c r="I155" s="150"/>
      <c r="J155" s="150"/>
    </row>
    <row r="156" spans="2:10" ht="15.75" x14ac:dyDescent="0.25">
      <c r="B156" s="148">
        <v>120</v>
      </c>
      <c r="C156" s="144"/>
      <c r="D156" s="145"/>
      <c r="E156" s="149"/>
      <c r="G156" s="150"/>
      <c r="H156" s="150"/>
      <c r="I156" s="150"/>
      <c r="J156" s="150"/>
    </row>
    <row r="157" spans="2:10" ht="15.75" x14ac:dyDescent="0.25">
      <c r="B157" s="148">
        <v>121</v>
      </c>
      <c r="C157" s="144"/>
      <c r="D157" s="145"/>
      <c r="E157" s="149"/>
      <c r="G157" s="150"/>
      <c r="H157" s="150"/>
      <c r="I157" s="150"/>
      <c r="J157" s="150"/>
    </row>
    <row r="158" spans="2:10" ht="15.75" x14ac:dyDescent="0.25">
      <c r="B158" s="148">
        <v>122</v>
      </c>
      <c r="C158" s="144"/>
      <c r="D158" s="145"/>
      <c r="E158" s="149"/>
      <c r="G158" s="150"/>
      <c r="H158" s="150"/>
      <c r="I158" s="150"/>
      <c r="J158" s="150"/>
    </row>
    <row r="159" spans="2:10" ht="15.75" x14ac:dyDescent="0.25">
      <c r="B159" s="148">
        <v>123</v>
      </c>
      <c r="C159" s="144"/>
      <c r="D159" s="145"/>
      <c r="E159" s="149"/>
      <c r="G159" s="150"/>
      <c r="H159" s="150"/>
      <c r="I159" s="150"/>
      <c r="J159" s="150"/>
    </row>
    <row r="160" spans="2:10" ht="15.75" x14ac:dyDescent="0.25">
      <c r="B160" s="148">
        <v>124</v>
      </c>
      <c r="C160" s="144"/>
      <c r="D160" s="145"/>
      <c r="E160" s="149"/>
      <c r="G160" s="150"/>
      <c r="H160" s="150"/>
      <c r="I160" s="150"/>
      <c r="J160" s="150"/>
    </row>
    <row r="161" spans="2:10" ht="15.75" x14ac:dyDescent="0.25">
      <c r="B161" s="148">
        <v>125</v>
      </c>
      <c r="C161" s="144"/>
      <c r="D161" s="145"/>
      <c r="E161" s="149"/>
      <c r="G161" s="150"/>
      <c r="H161" s="150"/>
      <c r="I161" s="150"/>
      <c r="J161" s="150"/>
    </row>
    <row r="162" spans="2:10" ht="15.75" x14ac:dyDescent="0.25">
      <c r="B162" s="148">
        <v>126</v>
      </c>
      <c r="C162" s="144"/>
      <c r="D162" s="145"/>
      <c r="E162" s="149"/>
      <c r="G162" s="150"/>
      <c r="H162" s="150"/>
      <c r="I162" s="150"/>
      <c r="J162" s="150"/>
    </row>
    <row r="163" spans="2:10" ht="15.75" x14ac:dyDescent="0.25">
      <c r="B163" s="148">
        <v>127</v>
      </c>
      <c r="C163" s="144"/>
      <c r="D163" s="145"/>
      <c r="E163" s="149"/>
      <c r="G163" s="150"/>
      <c r="H163" s="150"/>
      <c r="I163" s="150"/>
      <c r="J163" s="150"/>
    </row>
    <row r="164" spans="2:10" ht="15.75" x14ac:dyDescent="0.25">
      <c r="B164" s="148">
        <v>128</v>
      </c>
      <c r="C164" s="144"/>
      <c r="D164" s="145"/>
      <c r="E164" s="149"/>
      <c r="G164" s="150"/>
      <c r="H164" s="150"/>
      <c r="I164" s="150"/>
      <c r="J164" s="150"/>
    </row>
    <row r="165" spans="2:10" ht="15.75" x14ac:dyDescent="0.25">
      <c r="B165" s="148">
        <v>129</v>
      </c>
      <c r="C165" s="144"/>
      <c r="D165" s="145"/>
      <c r="E165" s="149"/>
      <c r="G165" s="150"/>
      <c r="H165" s="150"/>
      <c r="I165" s="150"/>
      <c r="J165" s="150"/>
    </row>
    <row r="166" spans="2:10" ht="15.75" x14ac:dyDescent="0.25">
      <c r="B166" s="148">
        <v>130</v>
      </c>
      <c r="C166" s="144"/>
      <c r="D166" s="145"/>
      <c r="E166" s="149"/>
      <c r="G166" s="150"/>
      <c r="H166" s="150"/>
      <c r="I166" s="150"/>
      <c r="J166" s="150"/>
    </row>
    <row r="167" spans="2:10" ht="15.75" x14ac:dyDescent="0.25">
      <c r="B167" s="148">
        <v>131</v>
      </c>
      <c r="C167" s="144"/>
      <c r="D167" s="145"/>
      <c r="E167" s="149"/>
      <c r="G167" s="150"/>
      <c r="H167" s="150"/>
      <c r="I167" s="150"/>
      <c r="J167" s="150"/>
    </row>
    <row r="168" spans="2:10" ht="15.75" x14ac:dyDescent="0.25">
      <c r="B168" s="148">
        <v>132</v>
      </c>
      <c r="C168" s="144"/>
      <c r="D168" s="145"/>
      <c r="E168" s="149"/>
      <c r="G168" s="150"/>
      <c r="H168" s="150"/>
      <c r="I168" s="150"/>
      <c r="J168" s="150"/>
    </row>
    <row r="169" spans="2:10" ht="15.75" x14ac:dyDescent="0.25">
      <c r="B169" s="148">
        <v>133</v>
      </c>
      <c r="C169" s="144"/>
      <c r="D169" s="145"/>
      <c r="E169" s="149"/>
      <c r="G169" s="150"/>
      <c r="H169" s="150"/>
      <c r="I169" s="150"/>
      <c r="J169" s="150"/>
    </row>
    <row r="170" spans="2:10" ht="15.75" x14ac:dyDescent="0.25">
      <c r="B170" s="148">
        <v>134</v>
      </c>
      <c r="C170" s="144"/>
      <c r="D170" s="145"/>
      <c r="E170" s="149"/>
      <c r="G170" s="150"/>
      <c r="H170" s="150"/>
      <c r="I170" s="150"/>
      <c r="J170" s="150"/>
    </row>
    <row r="171" spans="2:10" ht="15.75" x14ac:dyDescent="0.25">
      <c r="B171" s="148">
        <v>135</v>
      </c>
      <c r="C171" s="144"/>
      <c r="D171" s="145"/>
      <c r="E171" s="149"/>
      <c r="G171" s="150"/>
      <c r="H171" s="150"/>
      <c r="I171" s="150"/>
      <c r="J171" s="150"/>
    </row>
    <row r="172" spans="2:10" ht="15.75" x14ac:dyDescent="0.25">
      <c r="B172" s="148">
        <v>136</v>
      </c>
      <c r="C172" s="144"/>
      <c r="D172" s="145"/>
      <c r="E172" s="149"/>
      <c r="G172" s="150"/>
      <c r="H172" s="150"/>
      <c r="I172" s="150"/>
      <c r="J172" s="150"/>
    </row>
    <row r="173" spans="2:10" ht="15.75" x14ac:dyDescent="0.25">
      <c r="B173" s="148">
        <v>137</v>
      </c>
      <c r="C173" s="144"/>
      <c r="D173" s="145"/>
      <c r="E173" s="149"/>
      <c r="G173" s="150"/>
      <c r="H173" s="150"/>
      <c r="I173" s="150"/>
      <c r="J173" s="150"/>
    </row>
    <row r="174" spans="2:10" ht="15.75" x14ac:dyDescent="0.25">
      <c r="B174" s="148">
        <v>138</v>
      </c>
      <c r="C174" s="144"/>
      <c r="D174" s="145"/>
      <c r="E174" s="149"/>
      <c r="G174" s="150"/>
      <c r="H174" s="150"/>
      <c r="I174" s="150"/>
      <c r="J174" s="150"/>
    </row>
    <row r="175" spans="2:10" ht="15.75" x14ac:dyDescent="0.25">
      <c r="B175" s="148">
        <v>139</v>
      </c>
      <c r="C175" s="144"/>
      <c r="D175" s="145"/>
      <c r="E175" s="149"/>
      <c r="G175" s="150"/>
      <c r="H175" s="150"/>
      <c r="I175" s="150"/>
      <c r="J175" s="150"/>
    </row>
    <row r="176" spans="2:10" ht="15.75" x14ac:dyDescent="0.25">
      <c r="B176" s="148">
        <v>140</v>
      </c>
      <c r="C176" s="144"/>
      <c r="D176" s="145"/>
      <c r="E176" s="149"/>
      <c r="G176" s="150"/>
      <c r="H176" s="150"/>
      <c r="I176" s="150"/>
      <c r="J176" s="150"/>
    </row>
    <row r="177" spans="2:10" ht="15.75" x14ac:dyDescent="0.25">
      <c r="B177" s="148">
        <v>141</v>
      </c>
      <c r="C177" s="144"/>
      <c r="D177" s="145"/>
      <c r="E177" s="149"/>
      <c r="G177" s="150"/>
      <c r="H177" s="150"/>
      <c r="I177" s="150"/>
      <c r="J177" s="150"/>
    </row>
    <row r="178" spans="2:10" ht="15.75" x14ac:dyDescent="0.25">
      <c r="B178" s="148">
        <v>142</v>
      </c>
      <c r="C178" s="144"/>
      <c r="D178" s="145"/>
      <c r="E178" s="149"/>
      <c r="G178" s="150"/>
      <c r="H178" s="150"/>
      <c r="I178" s="150"/>
      <c r="J178" s="150"/>
    </row>
    <row r="179" spans="2:10" ht="15.75" x14ac:dyDescent="0.25">
      <c r="B179" s="148">
        <v>143</v>
      </c>
      <c r="C179" s="144"/>
      <c r="D179" s="145"/>
      <c r="E179" s="149"/>
      <c r="G179" s="150"/>
      <c r="H179" s="150"/>
      <c r="I179" s="150"/>
      <c r="J179" s="150"/>
    </row>
    <row r="180" spans="2:10" ht="15.75" x14ac:dyDescent="0.25">
      <c r="B180" s="148">
        <v>144</v>
      </c>
      <c r="C180" s="144"/>
      <c r="D180" s="145"/>
      <c r="E180" s="149"/>
      <c r="G180" s="150"/>
      <c r="H180" s="150"/>
      <c r="I180" s="150"/>
      <c r="J180" s="150"/>
    </row>
    <row r="181" spans="2:10" ht="15.75" x14ac:dyDescent="0.25">
      <c r="B181" s="148">
        <v>145</v>
      </c>
      <c r="C181" s="144"/>
      <c r="D181" s="145"/>
      <c r="E181" s="149"/>
      <c r="G181" s="150"/>
      <c r="H181" s="150"/>
      <c r="I181" s="150"/>
      <c r="J181" s="150"/>
    </row>
    <row r="182" spans="2:10" ht="15.75" x14ac:dyDescent="0.25">
      <c r="B182" s="148">
        <v>146</v>
      </c>
      <c r="C182" s="144"/>
      <c r="D182" s="145"/>
      <c r="E182" s="149"/>
      <c r="G182" s="150"/>
      <c r="H182" s="150"/>
      <c r="I182" s="150"/>
      <c r="J182" s="150"/>
    </row>
    <row r="183" spans="2:10" ht="15.75" x14ac:dyDescent="0.25">
      <c r="B183" s="148">
        <v>147</v>
      </c>
      <c r="C183" s="144"/>
      <c r="D183" s="145"/>
      <c r="E183" s="149"/>
      <c r="G183" s="150"/>
      <c r="H183" s="150"/>
      <c r="I183" s="150"/>
      <c r="J183" s="150"/>
    </row>
    <row r="184" spans="2:10" ht="15.75" x14ac:dyDescent="0.25">
      <c r="B184" s="148">
        <v>148</v>
      </c>
      <c r="C184" s="144"/>
      <c r="D184" s="145"/>
      <c r="E184" s="149"/>
      <c r="G184" s="150"/>
      <c r="H184" s="150"/>
      <c r="I184" s="150"/>
      <c r="J184" s="150"/>
    </row>
    <row r="185" spans="2:10" ht="15.75" x14ac:dyDescent="0.25">
      <c r="B185" s="148">
        <v>149</v>
      </c>
      <c r="C185" s="144"/>
      <c r="D185" s="145"/>
      <c r="E185" s="149"/>
      <c r="G185" s="150"/>
      <c r="H185" s="150"/>
      <c r="I185" s="150"/>
      <c r="J185" s="150"/>
    </row>
    <row r="186" spans="2:10" ht="15.75" x14ac:dyDescent="0.25">
      <c r="B186" s="148">
        <v>150</v>
      </c>
      <c r="C186" s="144"/>
      <c r="D186" s="145"/>
      <c r="E186" s="149"/>
      <c r="G186" s="150"/>
      <c r="H186" s="150"/>
      <c r="I186" s="150"/>
      <c r="J186" s="150"/>
    </row>
    <row r="187" spans="2:10" ht="15.75" x14ac:dyDescent="0.25">
      <c r="B187" s="148">
        <v>151</v>
      </c>
      <c r="C187" s="144"/>
      <c r="D187" s="145"/>
      <c r="E187" s="149"/>
      <c r="G187" s="150"/>
      <c r="H187" s="150"/>
      <c r="I187" s="150"/>
      <c r="J187" s="150"/>
    </row>
    <row r="188" spans="2:10" ht="15.75" x14ac:dyDescent="0.25">
      <c r="B188" s="148">
        <v>152</v>
      </c>
      <c r="C188" s="144"/>
      <c r="D188" s="145"/>
      <c r="E188" s="149"/>
      <c r="G188" s="150"/>
      <c r="H188" s="150"/>
      <c r="I188" s="150"/>
      <c r="J188" s="150"/>
    </row>
    <row r="189" spans="2:10" ht="15.75" x14ac:dyDescent="0.25">
      <c r="B189" s="148">
        <v>153</v>
      </c>
      <c r="C189" s="144"/>
      <c r="D189" s="145"/>
      <c r="E189" s="149"/>
      <c r="G189" s="150"/>
      <c r="H189" s="150"/>
      <c r="I189" s="150"/>
      <c r="J189" s="150"/>
    </row>
    <row r="190" spans="2:10" ht="15.75" x14ac:dyDescent="0.25">
      <c r="B190" s="148">
        <v>154</v>
      </c>
      <c r="C190" s="144"/>
      <c r="D190" s="145"/>
      <c r="E190" s="149"/>
      <c r="G190" s="150"/>
      <c r="H190" s="150"/>
      <c r="I190" s="150"/>
      <c r="J190" s="150"/>
    </row>
    <row r="191" spans="2:10" ht="15.75" x14ac:dyDescent="0.25">
      <c r="B191" s="148">
        <v>155</v>
      </c>
      <c r="C191" s="144"/>
      <c r="D191" s="145"/>
      <c r="E191" s="149"/>
      <c r="G191" s="150"/>
      <c r="H191" s="150"/>
      <c r="I191" s="150"/>
      <c r="J191" s="150"/>
    </row>
    <row r="192" spans="2:10" ht="15.75" x14ac:dyDescent="0.25">
      <c r="B192" s="148">
        <v>156</v>
      </c>
      <c r="C192" s="144"/>
      <c r="D192" s="145"/>
      <c r="E192" s="149"/>
      <c r="G192" s="150"/>
      <c r="H192" s="150"/>
      <c r="I192" s="150"/>
      <c r="J192" s="150"/>
    </row>
    <row r="193" spans="2:10" ht="15.75" x14ac:dyDescent="0.25">
      <c r="B193" s="148">
        <v>157</v>
      </c>
      <c r="C193" s="144"/>
      <c r="D193" s="145"/>
      <c r="E193" s="149"/>
      <c r="G193" s="150"/>
      <c r="H193" s="150"/>
      <c r="I193" s="150"/>
      <c r="J193" s="150"/>
    </row>
    <row r="194" spans="2:10" ht="15.75" x14ac:dyDescent="0.25">
      <c r="B194" s="148">
        <v>158</v>
      </c>
      <c r="C194" s="144"/>
      <c r="D194" s="145"/>
      <c r="E194" s="149"/>
      <c r="G194" s="150"/>
      <c r="H194" s="150"/>
      <c r="I194" s="150"/>
      <c r="J194" s="150"/>
    </row>
    <row r="195" spans="2:10" ht="15.75" x14ac:dyDescent="0.25">
      <c r="B195" s="148">
        <v>159</v>
      </c>
      <c r="C195" s="144"/>
      <c r="D195" s="145"/>
      <c r="E195" s="149"/>
      <c r="G195" s="150"/>
      <c r="H195" s="150"/>
      <c r="I195" s="150"/>
      <c r="J195" s="150"/>
    </row>
    <row r="196" spans="2:10" ht="15.75" x14ac:dyDescent="0.25">
      <c r="B196" s="148">
        <v>160</v>
      </c>
      <c r="C196" s="144"/>
      <c r="D196" s="145"/>
      <c r="E196" s="149"/>
      <c r="G196" s="150"/>
      <c r="H196" s="150"/>
      <c r="I196" s="150"/>
      <c r="J196" s="150"/>
    </row>
    <row r="197" spans="2:10" ht="15.75" x14ac:dyDescent="0.25">
      <c r="B197" s="148">
        <v>161</v>
      </c>
      <c r="C197" s="144"/>
      <c r="D197" s="145"/>
      <c r="E197" s="149"/>
      <c r="G197" s="150"/>
      <c r="H197" s="150"/>
      <c r="I197" s="150"/>
      <c r="J197" s="150"/>
    </row>
    <row r="198" spans="2:10" ht="15.75" x14ac:dyDescent="0.25">
      <c r="B198" s="148">
        <v>162</v>
      </c>
      <c r="C198" s="144"/>
      <c r="D198" s="145"/>
      <c r="E198" s="149"/>
      <c r="G198" s="150"/>
      <c r="H198" s="150"/>
      <c r="I198" s="150"/>
      <c r="J198" s="150"/>
    </row>
    <row r="199" spans="2:10" ht="15.75" x14ac:dyDescent="0.25">
      <c r="B199" s="148">
        <v>163</v>
      </c>
      <c r="C199" s="144"/>
      <c r="D199" s="145"/>
      <c r="E199" s="149"/>
      <c r="G199" s="150"/>
      <c r="H199" s="150"/>
      <c r="I199" s="150"/>
      <c r="J199" s="150"/>
    </row>
    <row r="200" spans="2:10" ht="15.75" x14ac:dyDescent="0.25">
      <c r="B200" s="148">
        <v>164</v>
      </c>
      <c r="C200" s="144"/>
      <c r="D200" s="145"/>
      <c r="E200" s="149"/>
      <c r="G200" s="150"/>
      <c r="H200" s="150"/>
      <c r="I200" s="150"/>
      <c r="J200" s="150"/>
    </row>
    <row r="201" spans="2:10" ht="15.75" x14ac:dyDescent="0.25">
      <c r="B201" s="148">
        <v>165</v>
      </c>
      <c r="C201" s="144"/>
      <c r="D201" s="145"/>
      <c r="E201" s="149"/>
      <c r="G201" s="150"/>
      <c r="H201" s="150"/>
      <c r="I201" s="150"/>
      <c r="J201" s="150"/>
    </row>
    <row r="202" spans="2:10" ht="15.75" x14ac:dyDescent="0.25">
      <c r="B202" s="148">
        <v>166</v>
      </c>
      <c r="C202" s="144"/>
      <c r="D202" s="145"/>
      <c r="E202" s="149"/>
      <c r="G202" s="150"/>
      <c r="H202" s="150"/>
      <c r="I202" s="150"/>
      <c r="J202" s="150"/>
    </row>
    <row r="203" spans="2:10" ht="15.75" x14ac:dyDescent="0.25">
      <c r="B203" s="148">
        <v>167</v>
      </c>
      <c r="C203" s="144"/>
      <c r="D203" s="145"/>
      <c r="E203" s="149"/>
      <c r="G203" s="150"/>
      <c r="H203" s="150"/>
      <c r="I203" s="150"/>
      <c r="J203" s="150"/>
    </row>
    <row r="204" spans="2:10" ht="15.75" x14ac:dyDescent="0.25">
      <c r="B204" s="148">
        <v>168</v>
      </c>
      <c r="C204" s="144"/>
      <c r="D204" s="145"/>
      <c r="E204" s="149"/>
      <c r="G204" s="150"/>
      <c r="H204" s="150"/>
      <c r="I204" s="150"/>
      <c r="J204" s="150"/>
    </row>
    <row r="205" spans="2:10" ht="15.75" x14ac:dyDescent="0.25">
      <c r="B205" s="148">
        <v>169</v>
      </c>
      <c r="C205" s="144"/>
      <c r="D205" s="145"/>
      <c r="E205" s="149"/>
      <c r="G205" s="150"/>
      <c r="H205" s="150"/>
      <c r="I205" s="150"/>
      <c r="J205" s="150"/>
    </row>
    <row r="206" spans="2:10" ht="15.75" x14ac:dyDescent="0.25">
      <c r="B206" s="148">
        <v>170</v>
      </c>
      <c r="C206" s="144"/>
      <c r="D206" s="145"/>
      <c r="E206" s="149"/>
      <c r="G206" s="150"/>
      <c r="H206" s="150"/>
      <c r="I206" s="150"/>
      <c r="J206" s="150"/>
    </row>
    <row r="207" spans="2:10" ht="15.75" x14ac:dyDescent="0.25">
      <c r="B207" s="148">
        <v>171</v>
      </c>
      <c r="C207" s="144"/>
      <c r="D207" s="145"/>
      <c r="E207" s="149"/>
      <c r="G207" s="150"/>
      <c r="H207" s="150"/>
      <c r="I207" s="150"/>
      <c r="J207" s="150"/>
    </row>
    <row r="208" spans="2:10" ht="15.75" x14ac:dyDescent="0.25">
      <c r="B208" s="148">
        <v>172</v>
      </c>
      <c r="C208" s="144"/>
      <c r="D208" s="145"/>
      <c r="E208" s="149"/>
      <c r="G208" s="150"/>
      <c r="H208" s="150"/>
      <c r="I208" s="150"/>
      <c r="J208" s="150"/>
    </row>
    <row r="209" spans="2:10" ht="15.75" x14ac:dyDescent="0.25">
      <c r="B209" s="148">
        <v>173</v>
      </c>
      <c r="C209" s="144"/>
      <c r="D209" s="145"/>
      <c r="E209" s="149"/>
      <c r="G209" s="150"/>
      <c r="H209" s="150"/>
      <c r="I209" s="150"/>
      <c r="J209" s="150"/>
    </row>
    <row r="210" spans="2:10" ht="15.75" x14ac:dyDescent="0.25">
      <c r="B210" s="148">
        <v>174</v>
      </c>
      <c r="C210" s="144"/>
      <c r="D210" s="145"/>
      <c r="E210" s="149"/>
      <c r="G210" s="150"/>
      <c r="H210" s="150"/>
      <c r="I210" s="150"/>
      <c r="J210" s="150"/>
    </row>
    <row r="211" spans="2:10" ht="15.75" x14ac:dyDescent="0.25">
      <c r="B211" s="148">
        <v>175</v>
      </c>
      <c r="C211" s="144"/>
      <c r="D211" s="145"/>
      <c r="E211" s="149"/>
      <c r="G211" s="150"/>
      <c r="H211" s="150"/>
      <c r="I211" s="150"/>
      <c r="J211" s="150"/>
    </row>
    <row r="212" spans="2:10" ht="15.75" x14ac:dyDescent="0.25">
      <c r="B212" s="148">
        <v>176</v>
      </c>
      <c r="C212" s="144"/>
      <c r="D212" s="145"/>
      <c r="E212" s="149"/>
      <c r="G212" s="150"/>
      <c r="H212" s="150"/>
      <c r="I212" s="150"/>
      <c r="J212" s="150"/>
    </row>
    <row r="213" spans="2:10" ht="15.75" x14ac:dyDescent="0.25">
      <c r="B213" s="148">
        <v>177</v>
      </c>
      <c r="C213" s="144"/>
      <c r="D213" s="145"/>
      <c r="E213" s="149"/>
      <c r="G213" s="150"/>
      <c r="H213" s="150"/>
      <c r="I213" s="150"/>
      <c r="J213" s="150"/>
    </row>
    <row r="214" spans="2:10" ht="15.75" x14ac:dyDescent="0.25">
      <c r="B214" s="148">
        <v>178</v>
      </c>
      <c r="C214" s="144"/>
      <c r="D214" s="145"/>
      <c r="E214" s="149"/>
      <c r="G214" s="150"/>
      <c r="H214" s="150"/>
      <c r="I214" s="150"/>
      <c r="J214" s="150"/>
    </row>
    <row r="215" spans="2:10" ht="15.75" x14ac:dyDescent="0.25">
      <c r="B215" s="148">
        <v>179</v>
      </c>
      <c r="C215" s="144"/>
      <c r="D215" s="145"/>
      <c r="E215" s="149"/>
      <c r="G215" s="150"/>
      <c r="H215" s="150"/>
      <c r="I215" s="150"/>
      <c r="J215" s="150"/>
    </row>
    <row r="216" spans="2:10" ht="15.75" x14ac:dyDescent="0.25">
      <c r="B216" s="148">
        <v>180</v>
      </c>
      <c r="C216" s="144"/>
      <c r="D216" s="145"/>
      <c r="E216" s="149"/>
      <c r="G216" s="150"/>
      <c r="H216" s="150"/>
      <c r="I216" s="150"/>
      <c r="J216" s="150"/>
    </row>
    <row r="217" spans="2:10" ht="15.75" x14ac:dyDescent="0.25">
      <c r="B217" s="148">
        <v>181</v>
      </c>
      <c r="C217" s="144"/>
      <c r="D217" s="145"/>
      <c r="E217" s="149"/>
      <c r="G217" s="150"/>
      <c r="H217" s="150"/>
      <c r="I217" s="150"/>
      <c r="J217" s="150"/>
    </row>
    <row r="218" spans="2:10" ht="15.75" x14ac:dyDescent="0.25">
      <c r="B218" s="148">
        <v>182</v>
      </c>
      <c r="C218" s="144"/>
      <c r="D218" s="145"/>
      <c r="E218" s="149"/>
      <c r="G218" s="150"/>
      <c r="H218" s="150"/>
      <c r="I218" s="150"/>
      <c r="J218" s="150"/>
    </row>
    <row r="219" spans="2:10" ht="15.75" x14ac:dyDescent="0.25">
      <c r="B219" s="148">
        <v>183</v>
      </c>
      <c r="C219" s="144"/>
      <c r="D219" s="145"/>
      <c r="E219" s="149"/>
      <c r="G219" s="150"/>
      <c r="H219" s="150"/>
      <c r="I219" s="150"/>
      <c r="J219" s="150"/>
    </row>
    <row r="220" spans="2:10" ht="15.75" x14ac:dyDescent="0.25">
      <c r="B220" s="148">
        <v>184</v>
      </c>
      <c r="C220" s="144"/>
      <c r="D220" s="145"/>
      <c r="E220" s="149"/>
      <c r="G220" s="150"/>
      <c r="H220" s="150"/>
      <c r="I220" s="150"/>
      <c r="J220" s="150"/>
    </row>
    <row r="221" spans="2:10" ht="15.75" x14ac:dyDescent="0.25">
      <c r="B221" s="148">
        <v>185</v>
      </c>
      <c r="C221" s="144"/>
      <c r="D221" s="145"/>
      <c r="E221" s="149"/>
      <c r="G221" s="150"/>
      <c r="H221" s="150"/>
      <c r="I221" s="150"/>
      <c r="J221" s="150"/>
    </row>
    <row r="222" spans="2:10" ht="15.75" x14ac:dyDescent="0.25">
      <c r="B222" s="148">
        <v>186</v>
      </c>
      <c r="C222" s="144"/>
      <c r="D222" s="145"/>
      <c r="E222" s="149"/>
      <c r="G222" s="150"/>
      <c r="H222" s="150"/>
      <c r="I222" s="150"/>
      <c r="J222" s="150"/>
    </row>
    <row r="223" spans="2:10" ht="15.75" x14ac:dyDescent="0.25">
      <c r="B223" s="148">
        <v>187</v>
      </c>
      <c r="C223" s="144"/>
      <c r="D223" s="145"/>
      <c r="E223" s="149"/>
      <c r="G223" s="150"/>
      <c r="H223" s="150"/>
      <c r="I223" s="150"/>
      <c r="J223" s="150"/>
    </row>
    <row r="224" spans="2:10" ht="15.75" x14ac:dyDescent="0.25">
      <c r="B224" s="148">
        <v>188</v>
      </c>
      <c r="C224" s="144"/>
      <c r="D224" s="145"/>
      <c r="E224" s="149"/>
      <c r="G224" s="150"/>
      <c r="H224" s="150"/>
      <c r="I224" s="150"/>
      <c r="J224" s="150"/>
    </row>
    <row r="225" spans="2:10" ht="15.75" x14ac:dyDescent="0.25">
      <c r="B225" s="148">
        <v>189</v>
      </c>
      <c r="C225" s="144"/>
      <c r="D225" s="145"/>
      <c r="E225" s="149"/>
      <c r="G225" s="150"/>
      <c r="H225" s="150"/>
      <c r="I225" s="150"/>
      <c r="J225" s="150"/>
    </row>
    <row r="226" spans="2:10" ht="15.75" x14ac:dyDescent="0.25">
      <c r="B226" s="148">
        <v>190</v>
      </c>
      <c r="C226" s="144"/>
      <c r="D226" s="145"/>
      <c r="E226" s="149"/>
      <c r="G226" s="150"/>
      <c r="H226" s="150"/>
      <c r="I226" s="150"/>
      <c r="J226" s="150"/>
    </row>
    <row r="227" spans="2:10" ht="15.75" x14ac:dyDescent="0.25">
      <c r="B227" s="148">
        <v>191</v>
      </c>
      <c r="C227" s="144"/>
      <c r="D227" s="145"/>
      <c r="E227" s="149"/>
      <c r="G227" s="150"/>
      <c r="H227" s="150"/>
      <c r="I227" s="150"/>
      <c r="J227" s="150"/>
    </row>
    <row r="228" spans="2:10" ht="15.75" x14ac:dyDescent="0.25">
      <c r="B228" s="148">
        <v>192</v>
      </c>
      <c r="C228" s="144"/>
      <c r="D228" s="145"/>
      <c r="E228" s="149"/>
      <c r="G228" s="150"/>
      <c r="H228" s="150"/>
      <c r="I228" s="150"/>
      <c r="J228" s="150"/>
    </row>
    <row r="229" spans="2:10" ht="15.75" x14ac:dyDescent="0.25">
      <c r="B229" s="148">
        <v>193</v>
      </c>
      <c r="C229" s="144"/>
      <c r="D229" s="145"/>
      <c r="E229" s="149"/>
      <c r="G229" s="150"/>
      <c r="H229" s="150"/>
      <c r="I229" s="150"/>
      <c r="J229" s="150"/>
    </row>
    <row r="230" spans="2:10" ht="15.75" x14ac:dyDescent="0.25">
      <c r="B230" s="148">
        <v>194</v>
      </c>
      <c r="C230" s="144"/>
      <c r="D230" s="145"/>
      <c r="E230" s="149"/>
      <c r="G230" s="150"/>
      <c r="H230" s="150"/>
      <c r="I230" s="150"/>
      <c r="J230" s="150"/>
    </row>
    <row r="231" spans="2:10" ht="15.75" x14ac:dyDescent="0.25">
      <c r="B231" s="148">
        <v>195</v>
      </c>
      <c r="C231" s="144"/>
      <c r="D231" s="145"/>
      <c r="E231" s="149"/>
      <c r="G231" s="150"/>
      <c r="H231" s="150"/>
      <c r="I231" s="150"/>
      <c r="J231" s="150"/>
    </row>
    <row r="232" spans="2:10" ht="15.75" x14ac:dyDescent="0.25">
      <c r="B232" s="148">
        <v>196</v>
      </c>
      <c r="C232" s="144"/>
      <c r="D232" s="145"/>
      <c r="E232" s="149"/>
      <c r="G232" s="150"/>
      <c r="H232" s="150"/>
      <c r="I232" s="150"/>
      <c r="J232" s="150"/>
    </row>
    <row r="233" spans="2:10" ht="15.75" x14ac:dyDescent="0.25">
      <c r="B233" s="148">
        <v>197</v>
      </c>
      <c r="C233" s="144"/>
      <c r="D233" s="145"/>
      <c r="E233" s="149"/>
      <c r="G233" s="150"/>
      <c r="H233" s="150"/>
      <c r="I233" s="150"/>
      <c r="J233" s="150"/>
    </row>
    <row r="234" spans="2:10" ht="15.75" x14ac:dyDescent="0.25">
      <c r="B234" s="148">
        <v>198</v>
      </c>
      <c r="C234" s="144"/>
      <c r="D234" s="145"/>
      <c r="E234" s="149"/>
      <c r="G234" s="150"/>
      <c r="H234" s="150"/>
      <c r="I234" s="150"/>
      <c r="J234" s="150"/>
    </row>
    <row r="235" spans="2:10" ht="15.75" x14ac:dyDescent="0.25">
      <c r="B235" s="148">
        <v>199</v>
      </c>
      <c r="C235" s="144"/>
      <c r="D235" s="145"/>
      <c r="E235" s="149"/>
      <c r="G235" s="150"/>
      <c r="H235" s="150"/>
      <c r="I235" s="150"/>
      <c r="J235" s="150"/>
    </row>
    <row r="236" spans="2:10" ht="15.75" x14ac:dyDescent="0.25">
      <c r="B236" s="148">
        <v>200</v>
      </c>
      <c r="C236" s="144"/>
      <c r="D236" s="145"/>
      <c r="E236" s="149"/>
      <c r="G236" s="150"/>
      <c r="H236" s="150"/>
      <c r="I236" s="150"/>
      <c r="J236" s="150"/>
    </row>
    <row r="237" spans="2:10" ht="15.75" x14ac:dyDescent="0.25">
      <c r="B237" s="148">
        <v>201</v>
      </c>
      <c r="C237" s="144"/>
      <c r="D237" s="145"/>
      <c r="E237" s="149"/>
      <c r="G237" s="150"/>
      <c r="H237" s="150"/>
      <c r="I237" s="150"/>
      <c r="J237" s="150"/>
    </row>
    <row r="238" spans="2:10" ht="15.75" x14ac:dyDescent="0.25">
      <c r="B238" s="148">
        <v>202</v>
      </c>
      <c r="C238" s="144"/>
      <c r="D238" s="145"/>
      <c r="E238" s="149"/>
      <c r="G238" s="150"/>
      <c r="H238" s="150"/>
      <c r="I238" s="150"/>
      <c r="J238" s="150"/>
    </row>
    <row r="239" spans="2:10" ht="15.75" x14ac:dyDescent="0.25">
      <c r="B239" s="148">
        <v>203</v>
      </c>
      <c r="C239" s="144"/>
      <c r="D239" s="145"/>
      <c r="E239" s="149"/>
      <c r="G239" s="150"/>
      <c r="H239" s="150"/>
      <c r="I239" s="150"/>
      <c r="J239" s="150"/>
    </row>
    <row r="240" spans="2:10" ht="15.75" x14ac:dyDescent="0.25">
      <c r="B240" s="148">
        <v>204</v>
      </c>
      <c r="C240" s="144"/>
      <c r="D240" s="145"/>
      <c r="E240" s="149"/>
      <c r="G240" s="150"/>
      <c r="H240" s="150"/>
      <c r="I240" s="150"/>
      <c r="J240" s="150"/>
    </row>
    <row r="241" spans="2:10" ht="15.75" x14ac:dyDescent="0.25">
      <c r="B241" s="148">
        <v>205</v>
      </c>
      <c r="C241" s="144"/>
      <c r="D241" s="145"/>
      <c r="E241" s="149"/>
      <c r="G241" s="150"/>
      <c r="H241" s="150"/>
      <c r="I241" s="150"/>
      <c r="J241" s="150"/>
    </row>
    <row r="242" spans="2:10" ht="15.75" x14ac:dyDescent="0.25">
      <c r="B242" s="148">
        <v>206</v>
      </c>
      <c r="C242" s="144"/>
      <c r="D242" s="145"/>
      <c r="E242" s="149"/>
      <c r="G242" s="150"/>
      <c r="H242" s="150"/>
      <c r="I242" s="150"/>
      <c r="J242" s="150"/>
    </row>
    <row r="243" spans="2:10" ht="15.75" x14ac:dyDescent="0.25">
      <c r="B243" s="148">
        <v>207</v>
      </c>
      <c r="C243" s="144"/>
      <c r="D243" s="145"/>
      <c r="E243" s="149"/>
      <c r="G243" s="150"/>
      <c r="H243" s="150"/>
      <c r="I243" s="150"/>
      <c r="J243" s="150"/>
    </row>
    <row r="244" spans="2:10" ht="15.75" x14ac:dyDescent="0.25">
      <c r="B244" s="148">
        <v>208</v>
      </c>
      <c r="C244" s="144"/>
      <c r="D244" s="145"/>
      <c r="E244" s="149"/>
      <c r="G244" s="150"/>
      <c r="H244" s="150"/>
      <c r="I244" s="150"/>
      <c r="J244" s="150"/>
    </row>
    <row r="245" spans="2:10" ht="15.75" x14ac:dyDescent="0.25">
      <c r="B245" s="148">
        <v>209</v>
      </c>
      <c r="C245" s="144"/>
      <c r="D245" s="145"/>
      <c r="E245" s="149"/>
      <c r="G245" s="150"/>
      <c r="H245" s="150"/>
      <c r="I245" s="150"/>
      <c r="J245" s="150"/>
    </row>
    <row r="246" spans="2:10" ht="15.75" x14ac:dyDescent="0.25">
      <c r="B246" s="148">
        <v>210</v>
      </c>
      <c r="C246" s="144"/>
      <c r="D246" s="145"/>
      <c r="E246" s="149"/>
      <c r="G246" s="150"/>
      <c r="H246" s="150"/>
      <c r="I246" s="150"/>
      <c r="J246" s="150"/>
    </row>
    <row r="247" spans="2:10" ht="15.75" x14ac:dyDescent="0.25">
      <c r="B247" s="148">
        <v>211</v>
      </c>
      <c r="C247" s="144"/>
      <c r="D247" s="145"/>
      <c r="E247" s="149"/>
      <c r="G247" s="150"/>
      <c r="H247" s="150"/>
      <c r="I247" s="150"/>
      <c r="J247" s="150"/>
    </row>
    <row r="248" spans="2:10" ht="15.75" x14ac:dyDescent="0.25">
      <c r="B248" s="148">
        <v>212</v>
      </c>
      <c r="C248" s="144"/>
      <c r="D248" s="145"/>
      <c r="E248" s="149"/>
      <c r="G248" s="150"/>
      <c r="H248" s="150"/>
      <c r="I248" s="150"/>
      <c r="J248" s="150"/>
    </row>
    <row r="249" spans="2:10" ht="15.75" x14ac:dyDescent="0.25">
      <c r="B249" s="148">
        <v>213</v>
      </c>
      <c r="C249" s="144"/>
      <c r="D249" s="145"/>
      <c r="E249" s="149"/>
      <c r="G249" s="150"/>
      <c r="H249" s="150"/>
      <c r="I249" s="150"/>
      <c r="J249" s="150"/>
    </row>
    <row r="250" spans="2:10" ht="15.75" x14ac:dyDescent="0.25">
      <c r="B250" s="148">
        <v>214</v>
      </c>
      <c r="C250" s="144"/>
      <c r="D250" s="145"/>
      <c r="E250" s="149"/>
      <c r="G250" s="150"/>
      <c r="H250" s="150"/>
      <c r="I250" s="150"/>
      <c r="J250" s="150"/>
    </row>
    <row r="251" spans="2:10" ht="15.75" x14ac:dyDescent="0.25">
      <c r="B251" s="148">
        <v>215</v>
      </c>
      <c r="C251" s="144"/>
      <c r="D251" s="145"/>
      <c r="E251" s="149"/>
      <c r="G251" s="150"/>
      <c r="H251" s="150"/>
      <c r="I251" s="150"/>
      <c r="J251" s="150"/>
    </row>
    <row r="252" spans="2:10" ht="15.75" x14ac:dyDescent="0.25">
      <c r="B252" s="148">
        <v>216</v>
      </c>
      <c r="C252" s="144"/>
      <c r="D252" s="145"/>
      <c r="E252" s="149"/>
      <c r="G252" s="150"/>
      <c r="H252" s="150"/>
      <c r="I252" s="150"/>
      <c r="J252" s="150"/>
    </row>
    <row r="253" spans="2:10" ht="15.75" x14ac:dyDescent="0.25">
      <c r="B253" s="148">
        <v>217</v>
      </c>
      <c r="C253" s="144"/>
      <c r="D253" s="145"/>
      <c r="E253" s="149"/>
      <c r="G253" s="150"/>
      <c r="H253" s="150"/>
      <c r="I253" s="150"/>
      <c r="J253" s="150"/>
    </row>
    <row r="254" spans="2:10" ht="15.75" x14ac:dyDescent="0.25">
      <c r="B254" s="148">
        <v>218</v>
      </c>
      <c r="C254" s="144"/>
      <c r="D254" s="145"/>
      <c r="E254" s="149"/>
      <c r="G254" s="150"/>
      <c r="H254" s="150"/>
      <c r="I254" s="150"/>
      <c r="J254" s="150"/>
    </row>
    <row r="255" spans="2:10" ht="15.75" x14ac:dyDescent="0.25">
      <c r="B255" s="148">
        <v>219</v>
      </c>
      <c r="C255" s="144"/>
      <c r="D255" s="145"/>
      <c r="E255" s="149"/>
      <c r="G255" s="150"/>
      <c r="H255" s="150"/>
      <c r="I255" s="150"/>
      <c r="J255" s="150"/>
    </row>
    <row r="256" spans="2:10" ht="15.75" x14ac:dyDescent="0.25">
      <c r="B256" s="148">
        <v>220</v>
      </c>
      <c r="C256" s="144"/>
      <c r="D256" s="145"/>
      <c r="E256" s="149"/>
      <c r="G256" s="150"/>
      <c r="H256" s="150"/>
      <c r="I256" s="150"/>
      <c r="J256" s="150"/>
    </row>
    <row r="257" spans="2:10" ht="15.75" x14ac:dyDescent="0.25">
      <c r="B257" s="148">
        <v>221</v>
      </c>
      <c r="C257" s="144"/>
      <c r="D257" s="145"/>
      <c r="E257" s="149"/>
      <c r="G257" s="150"/>
      <c r="H257" s="150"/>
      <c r="I257" s="150"/>
      <c r="J257" s="150"/>
    </row>
    <row r="258" spans="2:10" ht="15.75" x14ac:dyDescent="0.25">
      <c r="B258" s="148">
        <v>222</v>
      </c>
      <c r="C258" s="144"/>
      <c r="D258" s="145"/>
      <c r="E258" s="149"/>
      <c r="G258" s="150"/>
      <c r="H258" s="150"/>
      <c r="I258" s="150"/>
      <c r="J258" s="150"/>
    </row>
    <row r="259" spans="2:10" ht="15.75" x14ac:dyDescent="0.25">
      <c r="B259" s="148">
        <v>223</v>
      </c>
      <c r="C259" s="144"/>
      <c r="D259" s="145"/>
      <c r="E259" s="149"/>
      <c r="G259" s="150"/>
      <c r="H259" s="150"/>
      <c r="I259" s="150"/>
      <c r="J259" s="150"/>
    </row>
    <row r="260" spans="2:10" ht="15.75" x14ac:dyDescent="0.25">
      <c r="B260" s="148">
        <v>224</v>
      </c>
      <c r="C260" s="144"/>
      <c r="D260" s="145"/>
      <c r="E260" s="149"/>
      <c r="G260" s="150"/>
      <c r="H260" s="150"/>
      <c r="I260" s="150"/>
      <c r="J260" s="150"/>
    </row>
    <row r="261" spans="2:10" ht="15.75" x14ac:dyDescent="0.25">
      <c r="B261" s="148">
        <v>225</v>
      </c>
      <c r="C261" s="144"/>
      <c r="D261" s="145"/>
      <c r="E261" s="149"/>
      <c r="G261" s="150"/>
      <c r="H261" s="150"/>
      <c r="I261" s="150"/>
      <c r="J261" s="150"/>
    </row>
    <row r="262" spans="2:10" ht="15.75" x14ac:dyDescent="0.25">
      <c r="B262" s="148">
        <v>226</v>
      </c>
      <c r="C262" s="144"/>
      <c r="D262" s="145"/>
      <c r="E262" s="149"/>
      <c r="G262" s="150"/>
      <c r="H262" s="150"/>
      <c r="I262" s="150"/>
      <c r="J262" s="150"/>
    </row>
    <row r="263" spans="2:10" ht="15.75" x14ac:dyDescent="0.25">
      <c r="B263" s="148">
        <v>227</v>
      </c>
      <c r="C263" s="144"/>
      <c r="D263" s="145"/>
      <c r="E263" s="149"/>
      <c r="G263" s="150"/>
      <c r="H263" s="150"/>
      <c r="I263" s="150"/>
      <c r="J263" s="150"/>
    </row>
    <row r="264" spans="2:10" ht="15.75" x14ac:dyDescent="0.25">
      <c r="B264" s="148">
        <v>228</v>
      </c>
      <c r="C264" s="144"/>
      <c r="D264" s="145"/>
      <c r="E264" s="149"/>
      <c r="G264" s="150"/>
      <c r="H264" s="150"/>
      <c r="I264" s="150"/>
      <c r="J264" s="150"/>
    </row>
    <row r="265" spans="2:10" ht="15.75" x14ac:dyDescent="0.25">
      <c r="B265" s="148">
        <v>229</v>
      </c>
      <c r="C265" s="144"/>
      <c r="D265" s="145"/>
      <c r="E265" s="149"/>
      <c r="G265" s="150"/>
      <c r="H265" s="150"/>
      <c r="I265" s="150"/>
      <c r="J265" s="150"/>
    </row>
    <row r="266" spans="2:10" ht="15.75" x14ac:dyDescent="0.25">
      <c r="B266" s="148">
        <v>230</v>
      </c>
      <c r="C266" s="144"/>
      <c r="D266" s="145"/>
      <c r="E266" s="149"/>
      <c r="G266" s="150"/>
      <c r="H266" s="150"/>
      <c r="I266" s="150"/>
      <c r="J266" s="150"/>
    </row>
    <row r="267" spans="2:10" ht="15.75" x14ac:dyDescent="0.25">
      <c r="B267" s="148">
        <v>231</v>
      </c>
      <c r="C267" s="144"/>
      <c r="D267" s="145"/>
      <c r="E267" s="149"/>
      <c r="G267" s="150"/>
      <c r="H267" s="150"/>
      <c r="I267" s="150"/>
      <c r="J267" s="150"/>
    </row>
    <row r="268" spans="2:10" ht="15.75" x14ac:dyDescent="0.25">
      <c r="B268" s="148">
        <v>232</v>
      </c>
      <c r="C268" s="144"/>
      <c r="D268" s="145"/>
      <c r="E268" s="149"/>
      <c r="G268" s="150"/>
      <c r="H268" s="150"/>
      <c r="I268" s="150"/>
      <c r="J268" s="150"/>
    </row>
    <row r="269" spans="2:10" ht="15.75" x14ac:dyDescent="0.25">
      <c r="B269" s="148">
        <v>233</v>
      </c>
      <c r="C269" s="144"/>
      <c r="D269" s="145"/>
      <c r="E269" s="149"/>
      <c r="G269" s="150"/>
      <c r="H269" s="150"/>
      <c r="I269" s="150"/>
      <c r="J269" s="150"/>
    </row>
    <row r="270" spans="2:10" ht="15.75" x14ac:dyDescent="0.25">
      <c r="B270" s="148">
        <v>234</v>
      </c>
      <c r="C270" s="144"/>
      <c r="D270" s="145"/>
      <c r="E270" s="149"/>
      <c r="G270" s="150"/>
      <c r="H270" s="150"/>
      <c r="I270" s="150"/>
      <c r="J270" s="150"/>
    </row>
    <row r="271" spans="2:10" ht="15.75" x14ac:dyDescent="0.25">
      <c r="B271" s="148">
        <v>235</v>
      </c>
      <c r="C271" s="144"/>
      <c r="D271" s="145"/>
      <c r="E271" s="149"/>
      <c r="G271" s="150"/>
      <c r="H271" s="150"/>
      <c r="I271" s="150"/>
      <c r="J271" s="150"/>
    </row>
    <row r="272" spans="2:10" ht="15.75" x14ac:dyDescent="0.25">
      <c r="B272" s="148">
        <v>236</v>
      </c>
      <c r="C272" s="144"/>
      <c r="D272" s="145"/>
      <c r="E272" s="149"/>
      <c r="G272" s="150"/>
      <c r="H272" s="150"/>
      <c r="I272" s="150"/>
      <c r="J272" s="150"/>
    </row>
    <row r="273" spans="2:10" ht="15.75" x14ac:dyDescent="0.25">
      <c r="B273" s="148">
        <v>237</v>
      </c>
      <c r="C273" s="144"/>
      <c r="D273" s="145"/>
      <c r="E273" s="149"/>
      <c r="G273" s="150"/>
      <c r="H273" s="150"/>
      <c r="I273" s="150"/>
      <c r="J273" s="150"/>
    </row>
    <row r="274" spans="2:10" ht="15.75" x14ac:dyDescent="0.25">
      <c r="B274" s="148">
        <v>238</v>
      </c>
      <c r="C274" s="144"/>
      <c r="D274" s="145"/>
      <c r="E274" s="149"/>
      <c r="G274" s="150"/>
      <c r="H274" s="150"/>
      <c r="I274" s="150"/>
      <c r="J274" s="150"/>
    </row>
    <row r="275" spans="2:10" ht="15.75" x14ac:dyDescent="0.25">
      <c r="B275" s="148">
        <v>239</v>
      </c>
      <c r="C275" s="144"/>
      <c r="D275" s="145"/>
      <c r="E275" s="149"/>
      <c r="G275" s="150"/>
      <c r="H275" s="150"/>
      <c r="I275" s="150"/>
      <c r="J275" s="150"/>
    </row>
    <row r="276" spans="2:10" ht="15.75" x14ac:dyDescent="0.25">
      <c r="B276" s="148">
        <v>240</v>
      </c>
      <c r="C276" s="144"/>
      <c r="D276" s="145"/>
      <c r="E276" s="149"/>
      <c r="G276" s="150"/>
      <c r="H276" s="150"/>
      <c r="I276" s="150"/>
      <c r="J276" s="150"/>
    </row>
    <row r="277" spans="2:10" ht="15.75" x14ac:dyDescent="0.25">
      <c r="B277" s="148">
        <v>241</v>
      </c>
      <c r="C277" s="144"/>
      <c r="D277" s="145"/>
      <c r="E277" s="149"/>
      <c r="G277" s="150"/>
      <c r="H277" s="150"/>
      <c r="I277" s="150"/>
      <c r="J277" s="150"/>
    </row>
    <row r="278" spans="2:10" ht="15.75" x14ac:dyDescent="0.25">
      <c r="B278" s="148">
        <v>242</v>
      </c>
      <c r="C278" s="144"/>
      <c r="D278" s="145"/>
      <c r="E278" s="149"/>
      <c r="G278" s="150"/>
      <c r="H278" s="150"/>
      <c r="I278" s="150"/>
      <c r="J278" s="150"/>
    </row>
    <row r="279" spans="2:10" ht="15.75" x14ac:dyDescent="0.25">
      <c r="B279" s="148">
        <v>243</v>
      </c>
      <c r="C279" s="144"/>
      <c r="D279" s="145"/>
      <c r="E279" s="149"/>
      <c r="G279" s="150"/>
      <c r="H279" s="150"/>
      <c r="I279" s="150"/>
      <c r="J279" s="150"/>
    </row>
    <row r="280" spans="2:10" ht="15.75" x14ac:dyDescent="0.25">
      <c r="B280" s="148">
        <v>244</v>
      </c>
      <c r="C280" s="144"/>
      <c r="D280" s="145"/>
      <c r="E280" s="149"/>
      <c r="G280" s="150"/>
      <c r="H280" s="150"/>
      <c r="I280" s="150"/>
      <c r="J280" s="150"/>
    </row>
    <row r="281" spans="2:10" ht="15.75" x14ac:dyDescent="0.25">
      <c r="B281" s="148">
        <v>245</v>
      </c>
      <c r="C281" s="144"/>
      <c r="D281" s="145"/>
      <c r="E281" s="149"/>
      <c r="G281" s="150"/>
      <c r="H281" s="150"/>
      <c r="I281" s="150"/>
      <c r="J281" s="150"/>
    </row>
    <row r="282" spans="2:10" ht="15.75" x14ac:dyDescent="0.25">
      <c r="B282" s="148">
        <v>246</v>
      </c>
      <c r="C282" s="144"/>
      <c r="D282" s="145"/>
      <c r="E282" s="149"/>
      <c r="G282" s="150"/>
      <c r="H282" s="150"/>
      <c r="I282" s="150"/>
      <c r="J282" s="150"/>
    </row>
    <row r="283" spans="2:10" ht="15.75" x14ac:dyDescent="0.25">
      <c r="B283" s="148">
        <v>247</v>
      </c>
      <c r="C283" s="144"/>
      <c r="D283" s="145"/>
      <c r="E283" s="149"/>
      <c r="G283" s="150"/>
      <c r="H283" s="150"/>
      <c r="I283" s="150"/>
      <c r="J283" s="150"/>
    </row>
    <row r="284" spans="2:10" ht="15.75" x14ac:dyDescent="0.25">
      <c r="B284" s="148">
        <v>248</v>
      </c>
      <c r="C284" s="144"/>
      <c r="D284" s="145"/>
      <c r="E284" s="149"/>
      <c r="G284" s="150"/>
      <c r="H284" s="150"/>
      <c r="I284" s="150"/>
      <c r="J284" s="150"/>
    </row>
    <row r="285" spans="2:10" ht="15.75" x14ac:dyDescent="0.25">
      <c r="B285" s="148">
        <v>249</v>
      </c>
      <c r="C285" s="144"/>
      <c r="D285" s="145"/>
      <c r="E285" s="149"/>
      <c r="G285" s="150"/>
      <c r="H285" s="150"/>
      <c r="I285" s="150"/>
      <c r="J285" s="150"/>
    </row>
    <row r="286" spans="2:10" ht="15.75" x14ac:dyDescent="0.25">
      <c r="B286" s="148">
        <v>250</v>
      </c>
      <c r="C286" s="144"/>
      <c r="D286" s="145"/>
      <c r="E286" s="149"/>
      <c r="G286" s="150"/>
      <c r="H286" s="150"/>
      <c r="I286" s="150"/>
      <c r="J286" s="150"/>
    </row>
    <row r="287" spans="2:10" ht="15.75" x14ac:dyDescent="0.25">
      <c r="B287" s="148">
        <v>251</v>
      </c>
      <c r="C287" s="144"/>
      <c r="D287" s="145"/>
      <c r="E287" s="149"/>
      <c r="G287" s="150"/>
      <c r="H287" s="150"/>
      <c r="I287" s="150"/>
      <c r="J287" s="150"/>
    </row>
    <row r="288" spans="2:10" ht="15.75" x14ac:dyDescent="0.25">
      <c r="B288" s="148">
        <v>252</v>
      </c>
      <c r="C288" s="144"/>
      <c r="D288" s="145"/>
      <c r="E288" s="149"/>
      <c r="G288" s="150"/>
      <c r="H288" s="150"/>
      <c r="I288" s="150"/>
      <c r="J288" s="150"/>
    </row>
    <row r="289" spans="2:10" ht="15.75" x14ac:dyDescent="0.25">
      <c r="B289" s="148">
        <v>253</v>
      </c>
      <c r="C289" s="144"/>
      <c r="D289" s="145"/>
      <c r="E289" s="149"/>
      <c r="G289" s="150"/>
      <c r="H289" s="150"/>
      <c r="I289" s="150"/>
      <c r="J289" s="150"/>
    </row>
    <row r="290" spans="2:10" ht="15.75" x14ac:dyDescent="0.25">
      <c r="B290" s="148">
        <v>254</v>
      </c>
      <c r="C290" s="144"/>
      <c r="D290" s="145"/>
      <c r="E290" s="149"/>
      <c r="G290" s="150"/>
      <c r="H290" s="150"/>
      <c r="I290" s="150"/>
      <c r="J290" s="150"/>
    </row>
    <row r="291" spans="2:10" ht="15.75" x14ac:dyDescent="0.25">
      <c r="B291" s="148">
        <v>255</v>
      </c>
      <c r="C291" s="144"/>
      <c r="D291" s="145"/>
      <c r="E291" s="149"/>
      <c r="G291" s="150"/>
      <c r="H291" s="150"/>
      <c r="I291" s="150"/>
      <c r="J291" s="150"/>
    </row>
    <row r="292" spans="2:10" ht="15.75" x14ac:dyDescent="0.25">
      <c r="B292" s="148">
        <v>256</v>
      </c>
      <c r="C292" s="144"/>
      <c r="D292" s="145"/>
      <c r="E292" s="149"/>
      <c r="G292" s="150"/>
      <c r="H292" s="150"/>
      <c r="I292" s="150"/>
      <c r="J292" s="150"/>
    </row>
    <row r="293" spans="2:10" ht="15.75" x14ac:dyDescent="0.25">
      <c r="B293" s="148">
        <v>257</v>
      </c>
      <c r="C293" s="144"/>
      <c r="D293" s="145"/>
      <c r="E293" s="149"/>
      <c r="G293" s="150"/>
      <c r="H293" s="150"/>
      <c r="I293" s="150"/>
      <c r="J293" s="150"/>
    </row>
    <row r="294" spans="2:10" ht="15.75" x14ac:dyDescent="0.25">
      <c r="B294" s="148">
        <v>258</v>
      </c>
      <c r="C294" s="144"/>
      <c r="D294" s="145"/>
      <c r="E294" s="149"/>
      <c r="G294" s="150"/>
      <c r="H294" s="150"/>
      <c r="I294" s="150"/>
      <c r="J294" s="150"/>
    </row>
    <row r="295" spans="2:10" ht="15.75" x14ac:dyDescent="0.25">
      <c r="B295" s="148">
        <v>259</v>
      </c>
      <c r="C295" s="144"/>
      <c r="D295" s="145"/>
      <c r="E295" s="149"/>
      <c r="G295" s="150"/>
      <c r="H295" s="150"/>
      <c r="I295" s="150"/>
      <c r="J295" s="150"/>
    </row>
    <row r="296" spans="2:10" ht="15.75" x14ac:dyDescent="0.25">
      <c r="B296" s="148">
        <v>260</v>
      </c>
      <c r="C296" s="144"/>
      <c r="D296" s="145"/>
      <c r="E296" s="149"/>
      <c r="G296" s="150"/>
      <c r="H296" s="150"/>
      <c r="I296" s="150"/>
      <c r="J296" s="150"/>
    </row>
    <row r="297" spans="2:10" ht="15.75" x14ac:dyDescent="0.25">
      <c r="B297" s="148">
        <v>261</v>
      </c>
      <c r="C297" s="144"/>
      <c r="D297" s="145"/>
      <c r="E297" s="149"/>
      <c r="G297" s="150"/>
      <c r="H297" s="150"/>
      <c r="I297" s="150"/>
      <c r="J297" s="150"/>
    </row>
    <row r="298" spans="2:10" ht="15.75" x14ac:dyDescent="0.25">
      <c r="B298" s="148">
        <v>262</v>
      </c>
      <c r="C298" s="144"/>
      <c r="D298" s="145"/>
      <c r="E298" s="149"/>
      <c r="G298" s="150"/>
      <c r="H298" s="150"/>
      <c r="I298" s="150"/>
      <c r="J298" s="150"/>
    </row>
    <row r="299" spans="2:10" ht="15.75" x14ac:dyDescent="0.25">
      <c r="B299" s="148">
        <v>263</v>
      </c>
      <c r="C299" s="144"/>
      <c r="D299" s="145"/>
      <c r="E299" s="149"/>
      <c r="G299" s="150"/>
      <c r="H299" s="150"/>
      <c r="I299" s="150"/>
      <c r="J299" s="150"/>
    </row>
    <row r="300" spans="2:10" ht="15.75" x14ac:dyDescent="0.25">
      <c r="B300" s="148">
        <v>264</v>
      </c>
      <c r="C300" s="144"/>
      <c r="D300" s="145"/>
      <c r="E300" s="149"/>
      <c r="G300" s="150"/>
      <c r="H300" s="150"/>
      <c r="I300" s="150"/>
      <c r="J300" s="150"/>
    </row>
    <row r="301" spans="2:10" ht="15.75" x14ac:dyDescent="0.25">
      <c r="B301" s="148">
        <v>265</v>
      </c>
      <c r="C301" s="144"/>
      <c r="D301" s="145"/>
      <c r="E301" s="149"/>
      <c r="G301" s="150"/>
      <c r="H301" s="150"/>
      <c r="I301" s="150"/>
      <c r="J301" s="150"/>
    </row>
    <row r="302" spans="2:10" ht="15.75" x14ac:dyDescent="0.25">
      <c r="B302" s="148">
        <v>266</v>
      </c>
      <c r="C302" s="144"/>
      <c r="D302" s="145"/>
      <c r="E302" s="149"/>
      <c r="G302" s="150"/>
      <c r="H302" s="150"/>
      <c r="I302" s="150"/>
      <c r="J302" s="150"/>
    </row>
    <row r="303" spans="2:10" ht="15.75" x14ac:dyDescent="0.25">
      <c r="B303" s="148">
        <v>267</v>
      </c>
      <c r="C303" s="144"/>
      <c r="D303" s="145"/>
      <c r="E303" s="149"/>
      <c r="G303" s="150"/>
      <c r="H303" s="150"/>
      <c r="I303" s="150"/>
      <c r="J303" s="150"/>
    </row>
    <row r="304" spans="2:10" ht="15.75" x14ac:dyDescent="0.25">
      <c r="B304" s="148">
        <v>268</v>
      </c>
      <c r="C304" s="144"/>
      <c r="D304" s="145"/>
      <c r="E304" s="149"/>
      <c r="G304" s="150"/>
      <c r="H304" s="150"/>
      <c r="I304" s="150"/>
      <c r="J304" s="150"/>
    </row>
    <row r="305" spans="2:10" ht="15.75" x14ac:dyDescent="0.25">
      <c r="B305" s="148">
        <v>269</v>
      </c>
      <c r="C305" s="144"/>
      <c r="D305" s="145"/>
      <c r="E305" s="149"/>
      <c r="G305" s="150"/>
      <c r="H305" s="150"/>
      <c r="I305" s="150"/>
      <c r="J305" s="150"/>
    </row>
    <row r="306" spans="2:10" ht="15.75" x14ac:dyDescent="0.25">
      <c r="B306" s="148">
        <v>270</v>
      </c>
      <c r="C306" s="144"/>
      <c r="D306" s="145"/>
      <c r="E306" s="149"/>
      <c r="G306" s="150"/>
      <c r="H306" s="150"/>
      <c r="I306" s="150"/>
      <c r="J306" s="150"/>
    </row>
    <row r="307" spans="2:10" ht="15.75" x14ac:dyDescent="0.25">
      <c r="B307" s="148">
        <v>271</v>
      </c>
      <c r="C307" s="144"/>
      <c r="D307" s="145"/>
      <c r="E307" s="149"/>
      <c r="G307" s="150"/>
      <c r="H307" s="150"/>
      <c r="I307" s="150"/>
      <c r="J307" s="150"/>
    </row>
    <row r="308" spans="2:10" ht="15.75" x14ac:dyDescent="0.25">
      <c r="B308" s="148">
        <v>272</v>
      </c>
      <c r="C308" s="144"/>
      <c r="D308" s="145"/>
      <c r="E308" s="149"/>
      <c r="G308" s="150"/>
      <c r="H308" s="150"/>
      <c r="I308" s="150"/>
      <c r="J308" s="150"/>
    </row>
    <row r="309" spans="2:10" ht="15.75" x14ac:dyDescent="0.25">
      <c r="B309" s="148">
        <v>273</v>
      </c>
      <c r="C309" s="144"/>
      <c r="D309" s="145"/>
      <c r="E309" s="149"/>
      <c r="G309" s="150"/>
      <c r="H309" s="150"/>
      <c r="I309" s="150"/>
      <c r="J309" s="150"/>
    </row>
    <row r="310" spans="2:10" ht="15.75" x14ac:dyDescent="0.25">
      <c r="B310" s="148">
        <v>274</v>
      </c>
      <c r="C310" s="144"/>
      <c r="D310" s="145"/>
      <c r="E310" s="149"/>
      <c r="G310" s="150"/>
      <c r="H310" s="150"/>
      <c r="I310" s="150"/>
      <c r="J310" s="150"/>
    </row>
    <row r="311" spans="2:10" ht="15.75" x14ac:dyDescent="0.25">
      <c r="B311" s="148">
        <v>275</v>
      </c>
      <c r="C311" s="144"/>
      <c r="D311" s="145"/>
      <c r="E311" s="149"/>
      <c r="G311" s="150"/>
      <c r="H311" s="150"/>
      <c r="I311" s="150"/>
      <c r="J311" s="150"/>
    </row>
    <row r="312" spans="2:10" ht="15.75" x14ac:dyDescent="0.25">
      <c r="B312" s="148">
        <v>276</v>
      </c>
      <c r="C312" s="144"/>
      <c r="D312" s="145"/>
      <c r="E312" s="149"/>
      <c r="G312" s="150"/>
      <c r="H312" s="150"/>
      <c r="I312" s="150"/>
      <c r="J312" s="150"/>
    </row>
    <row r="313" spans="2:10" ht="15.75" x14ac:dyDescent="0.25">
      <c r="B313" s="148">
        <v>277</v>
      </c>
      <c r="C313" s="144"/>
      <c r="D313" s="145"/>
      <c r="E313" s="149"/>
      <c r="G313" s="150"/>
      <c r="H313" s="150"/>
      <c r="I313" s="150"/>
      <c r="J313" s="150"/>
    </row>
    <row r="314" spans="2:10" ht="15.75" x14ac:dyDescent="0.25">
      <c r="B314" s="148">
        <v>278</v>
      </c>
      <c r="C314" s="144"/>
      <c r="D314" s="145"/>
      <c r="E314" s="149"/>
      <c r="G314" s="150"/>
      <c r="H314" s="150"/>
      <c r="I314" s="150"/>
      <c r="J314" s="150"/>
    </row>
    <row r="315" spans="2:10" ht="15.75" x14ac:dyDescent="0.25">
      <c r="B315" s="148">
        <v>279</v>
      </c>
      <c r="C315" s="144"/>
      <c r="D315" s="145"/>
      <c r="E315" s="149"/>
      <c r="G315" s="150"/>
      <c r="H315" s="150"/>
      <c r="I315" s="150"/>
      <c r="J315" s="150"/>
    </row>
    <row r="316" spans="2:10" ht="15.75" x14ac:dyDescent="0.25">
      <c r="B316" s="148">
        <v>280</v>
      </c>
      <c r="C316" s="144"/>
      <c r="D316" s="145"/>
      <c r="E316" s="149"/>
      <c r="G316" s="150"/>
      <c r="H316" s="150"/>
      <c r="I316" s="150"/>
      <c r="J316" s="150"/>
    </row>
    <row r="317" spans="2:10" ht="15.75" x14ac:dyDescent="0.25">
      <c r="B317" s="148">
        <v>281</v>
      </c>
      <c r="C317" s="144"/>
      <c r="D317" s="145"/>
      <c r="E317" s="149"/>
      <c r="G317" s="150"/>
      <c r="H317" s="150"/>
      <c r="I317" s="150"/>
      <c r="J317" s="150"/>
    </row>
    <row r="318" spans="2:10" ht="15.75" x14ac:dyDescent="0.25">
      <c r="B318" s="148">
        <v>282</v>
      </c>
      <c r="C318" s="144"/>
      <c r="D318" s="145"/>
      <c r="E318" s="149"/>
      <c r="G318" s="150"/>
      <c r="H318" s="150"/>
      <c r="I318" s="150"/>
      <c r="J318" s="150"/>
    </row>
    <row r="319" spans="2:10" ht="15.75" x14ac:dyDescent="0.25">
      <c r="B319" s="148">
        <v>283</v>
      </c>
      <c r="C319" s="144"/>
      <c r="D319" s="145"/>
      <c r="E319" s="149"/>
      <c r="G319" s="150"/>
      <c r="H319" s="150"/>
      <c r="I319" s="150"/>
      <c r="J319" s="150"/>
    </row>
    <row r="320" spans="2:10" ht="15.75" x14ac:dyDescent="0.25">
      <c r="B320" s="148">
        <v>284</v>
      </c>
      <c r="C320" s="144"/>
      <c r="D320" s="145"/>
      <c r="E320" s="149"/>
      <c r="G320" s="150"/>
      <c r="H320" s="150"/>
      <c r="I320" s="150"/>
      <c r="J320" s="150"/>
    </row>
    <row r="321" spans="2:10" ht="15.75" x14ac:dyDescent="0.25">
      <c r="B321" s="148">
        <v>285</v>
      </c>
      <c r="C321" s="144"/>
      <c r="D321" s="145"/>
      <c r="E321" s="149"/>
      <c r="G321" s="150"/>
      <c r="H321" s="150"/>
      <c r="I321" s="150"/>
      <c r="J321" s="150"/>
    </row>
    <row r="322" spans="2:10" ht="15.75" x14ac:dyDescent="0.25">
      <c r="B322" s="148">
        <v>286</v>
      </c>
      <c r="C322" s="144"/>
      <c r="D322" s="145"/>
      <c r="E322" s="149"/>
      <c r="G322" s="150"/>
      <c r="H322" s="150"/>
      <c r="I322" s="150"/>
      <c r="J322" s="150"/>
    </row>
    <row r="323" spans="2:10" ht="15.75" x14ac:dyDescent="0.25">
      <c r="B323" s="148">
        <v>287</v>
      </c>
      <c r="C323" s="144"/>
      <c r="D323" s="145"/>
      <c r="E323" s="149"/>
      <c r="G323" s="150"/>
      <c r="H323" s="150"/>
      <c r="I323" s="150"/>
      <c r="J323" s="150"/>
    </row>
    <row r="324" spans="2:10" ht="15.75" x14ac:dyDescent="0.25">
      <c r="B324" s="148">
        <v>288</v>
      </c>
      <c r="C324" s="144"/>
      <c r="D324" s="145"/>
      <c r="E324" s="149"/>
      <c r="G324" s="150"/>
      <c r="H324" s="150"/>
      <c r="I324" s="150"/>
      <c r="J324" s="150"/>
    </row>
    <row r="325" spans="2:10" ht="15.75" x14ac:dyDescent="0.25">
      <c r="B325" s="148">
        <v>289</v>
      </c>
      <c r="C325" s="144"/>
      <c r="D325" s="145"/>
      <c r="E325" s="149"/>
      <c r="G325" s="150"/>
      <c r="H325" s="150"/>
      <c r="I325" s="150"/>
      <c r="J325" s="150"/>
    </row>
    <row r="326" spans="2:10" ht="15.75" x14ac:dyDescent="0.25">
      <c r="B326" s="148">
        <v>290</v>
      </c>
      <c r="C326" s="144"/>
      <c r="D326" s="145"/>
      <c r="E326" s="149"/>
      <c r="G326" s="150"/>
      <c r="H326" s="150"/>
      <c r="I326" s="150"/>
      <c r="J326" s="150"/>
    </row>
    <row r="327" spans="2:10" ht="15.75" x14ac:dyDescent="0.25">
      <c r="B327" s="148">
        <v>291</v>
      </c>
      <c r="C327" s="144"/>
      <c r="D327" s="145"/>
      <c r="E327" s="149"/>
      <c r="G327" s="150"/>
      <c r="H327" s="150"/>
      <c r="I327" s="150"/>
      <c r="J327" s="150"/>
    </row>
    <row r="328" spans="2:10" ht="15.75" x14ac:dyDescent="0.25">
      <c r="B328" s="148">
        <v>292</v>
      </c>
      <c r="C328" s="144"/>
      <c r="D328" s="145"/>
      <c r="E328" s="149"/>
      <c r="G328" s="150"/>
      <c r="H328" s="150"/>
      <c r="I328" s="150"/>
      <c r="J328" s="150"/>
    </row>
    <row r="329" spans="2:10" ht="15.75" x14ac:dyDescent="0.25">
      <c r="B329" s="148">
        <v>293</v>
      </c>
      <c r="C329" s="144"/>
      <c r="D329" s="145"/>
      <c r="E329" s="149"/>
      <c r="G329" s="150"/>
      <c r="H329" s="150"/>
      <c r="I329" s="150"/>
      <c r="J329" s="150"/>
    </row>
    <row r="330" spans="2:10" ht="15.75" x14ac:dyDescent="0.25">
      <c r="B330" s="148">
        <v>294</v>
      </c>
      <c r="C330" s="144"/>
      <c r="D330" s="145"/>
      <c r="E330" s="149"/>
      <c r="G330" s="150"/>
      <c r="H330" s="150"/>
      <c r="I330" s="150"/>
      <c r="J330" s="150"/>
    </row>
    <row r="331" spans="2:10" ht="15.75" x14ac:dyDescent="0.25">
      <c r="B331" s="148">
        <v>295</v>
      </c>
      <c r="C331" s="144"/>
      <c r="D331" s="145"/>
      <c r="E331" s="149"/>
      <c r="G331" s="150"/>
      <c r="H331" s="150"/>
      <c r="I331" s="150"/>
      <c r="J331" s="150"/>
    </row>
    <row r="332" spans="2:10" ht="15.75" x14ac:dyDescent="0.25">
      <c r="B332" s="148">
        <v>296</v>
      </c>
      <c r="C332" s="144"/>
      <c r="D332" s="145"/>
      <c r="E332" s="149"/>
      <c r="G332" s="150"/>
      <c r="H332" s="150"/>
      <c r="I332" s="150"/>
      <c r="J332" s="150"/>
    </row>
    <row r="333" spans="2:10" ht="15.75" x14ac:dyDescent="0.25">
      <c r="B333" s="148">
        <v>297</v>
      </c>
      <c r="C333" s="144"/>
      <c r="D333" s="145"/>
      <c r="E333" s="149"/>
      <c r="G333" s="150"/>
      <c r="H333" s="150"/>
      <c r="I333" s="150"/>
      <c r="J333" s="150"/>
    </row>
    <row r="334" spans="2:10" ht="15.75" x14ac:dyDescent="0.25">
      <c r="B334" s="148">
        <v>298</v>
      </c>
      <c r="C334" s="144"/>
      <c r="D334" s="145"/>
      <c r="E334" s="149"/>
      <c r="G334" s="150"/>
      <c r="H334" s="150"/>
      <c r="I334" s="150"/>
      <c r="J334" s="150"/>
    </row>
    <row r="335" spans="2:10" ht="15.75" x14ac:dyDescent="0.25">
      <c r="B335" s="148">
        <v>299</v>
      </c>
      <c r="C335" s="144"/>
      <c r="D335" s="145"/>
      <c r="E335" s="149"/>
      <c r="G335" s="150"/>
      <c r="H335" s="150"/>
      <c r="I335" s="150"/>
      <c r="J335" s="150"/>
    </row>
    <row r="336" spans="2:10" ht="15.75" x14ac:dyDescent="0.25">
      <c r="B336" s="148">
        <v>300</v>
      </c>
      <c r="C336" s="144"/>
      <c r="D336" s="145"/>
      <c r="E336" s="149"/>
      <c r="G336" s="150"/>
      <c r="H336" s="150"/>
      <c r="I336" s="150"/>
      <c r="J336" s="150"/>
    </row>
    <row r="337" spans="2:10" ht="15.75" x14ac:dyDescent="0.25">
      <c r="B337" s="148">
        <v>301</v>
      </c>
      <c r="C337" s="144"/>
      <c r="D337" s="145"/>
      <c r="E337" s="149"/>
      <c r="G337" s="150"/>
      <c r="H337" s="150"/>
      <c r="I337" s="150"/>
      <c r="J337" s="150"/>
    </row>
    <row r="338" spans="2:10" ht="15.75" x14ac:dyDescent="0.25">
      <c r="B338" s="148">
        <v>302</v>
      </c>
      <c r="C338" s="144"/>
      <c r="D338" s="145"/>
      <c r="E338" s="149"/>
      <c r="G338" s="150"/>
      <c r="H338" s="150"/>
      <c r="I338" s="150"/>
      <c r="J338" s="150"/>
    </row>
    <row r="339" spans="2:10" ht="15.75" x14ac:dyDescent="0.25">
      <c r="B339" s="148">
        <v>303</v>
      </c>
      <c r="C339" s="144"/>
      <c r="D339" s="145"/>
      <c r="E339" s="149"/>
      <c r="G339" s="150"/>
      <c r="H339" s="150"/>
      <c r="I339" s="150"/>
      <c r="J339" s="150"/>
    </row>
    <row r="340" spans="2:10" ht="15.75" x14ac:dyDescent="0.25">
      <c r="B340" s="148">
        <v>304</v>
      </c>
      <c r="C340" s="144"/>
      <c r="D340" s="145"/>
      <c r="E340" s="149"/>
      <c r="G340" s="150"/>
      <c r="H340" s="150"/>
      <c r="I340" s="150"/>
      <c r="J340" s="150"/>
    </row>
    <row r="341" spans="2:10" ht="15.75" x14ac:dyDescent="0.25">
      <c r="B341" s="148">
        <v>305</v>
      </c>
      <c r="C341" s="144"/>
      <c r="D341" s="145"/>
      <c r="E341" s="149"/>
      <c r="G341" s="150"/>
      <c r="H341" s="150"/>
      <c r="I341" s="150"/>
      <c r="J341" s="150"/>
    </row>
    <row r="342" spans="2:10" ht="15.75" x14ac:dyDescent="0.25">
      <c r="B342" s="148">
        <v>306</v>
      </c>
      <c r="C342" s="144"/>
      <c r="D342" s="145"/>
      <c r="E342" s="149"/>
      <c r="G342" s="150"/>
      <c r="H342" s="150"/>
      <c r="I342" s="150"/>
      <c r="J342" s="150"/>
    </row>
    <row r="343" spans="2:10" ht="15.75" x14ac:dyDescent="0.25">
      <c r="B343" s="148">
        <v>307</v>
      </c>
      <c r="C343" s="144"/>
      <c r="D343" s="145"/>
      <c r="E343" s="149"/>
      <c r="G343" s="150"/>
      <c r="H343" s="150"/>
      <c r="I343" s="150"/>
      <c r="J343" s="150"/>
    </row>
    <row r="344" spans="2:10" ht="15.75" x14ac:dyDescent="0.25">
      <c r="B344" s="148">
        <v>308</v>
      </c>
      <c r="C344" s="144"/>
      <c r="D344" s="145"/>
      <c r="E344" s="149"/>
      <c r="G344" s="150"/>
      <c r="H344" s="150"/>
      <c r="I344" s="150"/>
      <c r="J344" s="150"/>
    </row>
    <row r="345" spans="2:10" ht="15.75" x14ac:dyDescent="0.25">
      <c r="B345" s="148">
        <v>309</v>
      </c>
      <c r="C345" s="144"/>
      <c r="D345" s="145"/>
      <c r="E345" s="149"/>
      <c r="G345" s="150"/>
      <c r="H345" s="150"/>
      <c r="I345" s="150"/>
      <c r="J345" s="150"/>
    </row>
    <row r="346" spans="2:10" ht="15.75" x14ac:dyDescent="0.25">
      <c r="B346" s="148">
        <v>310</v>
      </c>
      <c r="C346" s="144"/>
      <c r="D346" s="145"/>
      <c r="E346" s="149"/>
      <c r="G346" s="150"/>
      <c r="H346" s="150"/>
      <c r="I346" s="150"/>
      <c r="J346" s="150"/>
    </row>
    <row r="347" spans="2:10" ht="15.75" x14ac:dyDescent="0.25">
      <c r="B347" s="148">
        <v>311</v>
      </c>
      <c r="C347" s="144"/>
      <c r="D347" s="145"/>
      <c r="E347" s="149"/>
      <c r="G347" s="150"/>
      <c r="H347" s="150"/>
      <c r="I347" s="150"/>
      <c r="J347" s="150"/>
    </row>
    <row r="348" spans="2:10" ht="15.75" x14ac:dyDescent="0.25">
      <c r="B348" s="148">
        <v>312</v>
      </c>
      <c r="C348" s="144"/>
      <c r="D348" s="145"/>
      <c r="E348" s="149"/>
      <c r="G348" s="150"/>
      <c r="H348" s="150"/>
      <c r="I348" s="150"/>
      <c r="J348" s="150"/>
    </row>
    <row r="349" spans="2:10" ht="15.75" x14ac:dyDescent="0.25">
      <c r="B349" s="148">
        <v>313</v>
      </c>
      <c r="C349" s="144"/>
      <c r="D349" s="145"/>
      <c r="E349" s="149"/>
      <c r="G349" s="150"/>
      <c r="H349" s="150"/>
      <c r="I349" s="150"/>
      <c r="J349" s="150"/>
    </row>
    <row r="350" spans="2:10" ht="15.75" x14ac:dyDescent="0.25">
      <c r="B350" s="148">
        <v>314</v>
      </c>
      <c r="C350" s="144"/>
      <c r="D350" s="145"/>
      <c r="E350" s="149"/>
      <c r="G350" s="150"/>
      <c r="H350" s="150"/>
      <c r="I350" s="150"/>
      <c r="J350" s="150"/>
    </row>
    <row r="351" spans="2:10" ht="15.75" x14ac:dyDescent="0.25">
      <c r="B351" s="148">
        <v>315</v>
      </c>
      <c r="C351" s="144"/>
      <c r="D351" s="145"/>
      <c r="E351" s="149"/>
      <c r="G351" s="150"/>
      <c r="H351" s="150"/>
      <c r="I351" s="150"/>
      <c r="J351" s="150"/>
    </row>
    <row r="352" spans="2:10" ht="15.75" x14ac:dyDescent="0.25">
      <c r="B352" s="148">
        <v>316</v>
      </c>
      <c r="C352" s="144"/>
      <c r="D352" s="145"/>
      <c r="E352" s="149"/>
      <c r="G352" s="150"/>
      <c r="H352" s="150"/>
      <c r="I352" s="150"/>
      <c r="J352" s="150"/>
    </row>
    <row r="353" spans="2:10" ht="15.75" x14ac:dyDescent="0.25">
      <c r="B353" s="148">
        <v>317</v>
      </c>
      <c r="C353" s="144"/>
      <c r="D353" s="145"/>
      <c r="E353" s="149"/>
      <c r="G353" s="150"/>
      <c r="H353" s="150"/>
      <c r="I353" s="150"/>
      <c r="J353" s="150"/>
    </row>
    <row r="354" spans="2:10" ht="15.75" x14ac:dyDescent="0.25">
      <c r="B354" s="148">
        <v>318</v>
      </c>
      <c r="C354" s="144"/>
      <c r="D354" s="145"/>
      <c r="E354" s="149"/>
      <c r="G354" s="150"/>
      <c r="H354" s="150"/>
      <c r="I354" s="150"/>
      <c r="J354" s="150"/>
    </row>
    <row r="355" spans="2:10" ht="15.75" x14ac:dyDescent="0.25">
      <c r="B355" s="148">
        <v>319</v>
      </c>
      <c r="C355" s="144"/>
      <c r="D355" s="145"/>
      <c r="E355" s="149"/>
      <c r="G355" s="150"/>
      <c r="H355" s="150"/>
      <c r="I355" s="150"/>
      <c r="J355" s="150"/>
    </row>
    <row r="356" spans="2:10" ht="15.75" x14ac:dyDescent="0.25">
      <c r="B356" s="148">
        <v>320</v>
      </c>
      <c r="C356" s="144"/>
      <c r="D356" s="145"/>
      <c r="E356" s="149"/>
      <c r="G356" s="150"/>
      <c r="H356" s="150"/>
      <c r="I356" s="150"/>
      <c r="J356" s="150"/>
    </row>
    <row r="357" spans="2:10" ht="15.75" x14ac:dyDescent="0.25">
      <c r="B357" s="148">
        <v>321</v>
      </c>
      <c r="C357" s="144"/>
      <c r="D357" s="145"/>
      <c r="E357" s="149"/>
      <c r="G357" s="150"/>
      <c r="H357" s="150"/>
      <c r="I357" s="150"/>
      <c r="J357" s="150"/>
    </row>
    <row r="358" spans="2:10" ht="15.75" x14ac:dyDescent="0.25">
      <c r="B358" s="148">
        <v>322</v>
      </c>
      <c r="C358" s="144"/>
      <c r="D358" s="145"/>
      <c r="E358" s="149"/>
      <c r="G358" s="150"/>
      <c r="H358" s="150"/>
      <c r="I358" s="150"/>
      <c r="J358" s="150"/>
    </row>
    <row r="359" spans="2:10" ht="15.75" x14ac:dyDescent="0.25">
      <c r="B359" s="148">
        <v>323</v>
      </c>
      <c r="C359" s="144"/>
      <c r="D359" s="145"/>
      <c r="E359" s="149"/>
      <c r="G359" s="150"/>
      <c r="H359" s="150"/>
      <c r="I359" s="150"/>
      <c r="J359" s="150"/>
    </row>
    <row r="360" spans="2:10" ht="15.75" x14ac:dyDescent="0.25">
      <c r="B360" s="148">
        <v>324</v>
      </c>
      <c r="C360" s="144"/>
      <c r="D360" s="145"/>
      <c r="E360" s="149"/>
      <c r="G360" s="150"/>
      <c r="H360" s="150"/>
      <c r="I360" s="150"/>
      <c r="J360" s="150"/>
    </row>
    <row r="361" spans="2:10" ht="15.75" x14ac:dyDescent="0.25">
      <c r="B361" s="148">
        <v>325</v>
      </c>
      <c r="C361" s="144"/>
      <c r="D361" s="145"/>
      <c r="E361" s="149"/>
      <c r="G361" s="150"/>
      <c r="H361" s="150"/>
      <c r="I361" s="150"/>
      <c r="J361" s="150"/>
    </row>
    <row r="362" spans="2:10" ht="15.75" x14ac:dyDescent="0.25">
      <c r="B362" s="148">
        <v>326</v>
      </c>
      <c r="C362" s="144"/>
      <c r="D362" s="145"/>
      <c r="E362" s="149"/>
      <c r="G362" s="150"/>
      <c r="H362" s="150"/>
      <c r="I362" s="150"/>
      <c r="J362" s="150"/>
    </row>
    <row r="363" spans="2:10" ht="15.75" x14ac:dyDescent="0.25">
      <c r="B363" s="148">
        <v>327</v>
      </c>
      <c r="C363" s="144"/>
      <c r="D363" s="145"/>
      <c r="E363" s="149"/>
      <c r="G363" s="150"/>
      <c r="H363" s="150"/>
      <c r="I363" s="150"/>
      <c r="J363" s="150"/>
    </row>
    <row r="364" spans="2:10" ht="15.75" x14ac:dyDescent="0.25">
      <c r="B364" s="148">
        <v>328</v>
      </c>
      <c r="C364" s="144"/>
      <c r="D364" s="145"/>
      <c r="E364" s="149"/>
      <c r="G364" s="150"/>
      <c r="H364" s="150"/>
      <c r="I364" s="150"/>
      <c r="J364" s="150"/>
    </row>
    <row r="365" spans="2:10" ht="15.75" x14ac:dyDescent="0.25">
      <c r="B365" s="148">
        <v>329</v>
      </c>
      <c r="C365" s="144"/>
      <c r="D365" s="145"/>
      <c r="E365" s="149"/>
      <c r="G365" s="150"/>
      <c r="H365" s="150"/>
      <c r="I365" s="150"/>
      <c r="J365" s="150"/>
    </row>
    <row r="366" spans="2:10" ht="15.75" x14ac:dyDescent="0.25">
      <c r="B366" s="148">
        <v>330</v>
      </c>
      <c r="C366" s="144"/>
      <c r="D366" s="145"/>
      <c r="E366" s="149"/>
      <c r="G366" s="150"/>
      <c r="H366" s="150"/>
      <c r="I366" s="150"/>
      <c r="J366" s="150"/>
    </row>
    <row r="367" spans="2:10" ht="15.75" x14ac:dyDescent="0.25">
      <c r="B367" s="148">
        <v>331</v>
      </c>
      <c r="C367" s="144"/>
      <c r="D367" s="145"/>
      <c r="E367" s="149"/>
      <c r="G367" s="150"/>
      <c r="H367" s="150"/>
      <c r="I367" s="150"/>
      <c r="J367" s="150"/>
    </row>
    <row r="368" spans="2:10" ht="15.75" x14ac:dyDescent="0.25">
      <c r="B368" s="148">
        <v>332</v>
      </c>
      <c r="C368" s="144"/>
      <c r="D368" s="145"/>
      <c r="E368" s="149"/>
      <c r="G368" s="150"/>
      <c r="H368" s="150"/>
      <c r="I368" s="150"/>
      <c r="J368" s="150"/>
    </row>
    <row r="369" spans="2:10" ht="15.75" x14ac:dyDescent="0.25">
      <c r="B369" s="148">
        <v>333</v>
      </c>
      <c r="C369" s="144"/>
      <c r="D369" s="145"/>
      <c r="E369" s="149"/>
      <c r="G369" s="150"/>
      <c r="H369" s="150"/>
      <c r="I369" s="150"/>
      <c r="J369" s="150"/>
    </row>
    <row r="370" spans="2:10" ht="15.75" x14ac:dyDescent="0.25">
      <c r="B370" s="148">
        <v>334</v>
      </c>
      <c r="C370" s="144"/>
      <c r="D370" s="145"/>
      <c r="E370" s="149"/>
      <c r="G370" s="150"/>
      <c r="H370" s="150"/>
      <c r="I370" s="150"/>
      <c r="J370" s="150"/>
    </row>
    <row r="371" spans="2:10" ht="15.75" x14ac:dyDescent="0.25">
      <c r="B371" s="148">
        <v>335</v>
      </c>
      <c r="C371" s="144"/>
      <c r="D371" s="145"/>
      <c r="E371" s="149"/>
      <c r="G371" s="150"/>
      <c r="H371" s="150"/>
      <c r="I371" s="150"/>
      <c r="J371" s="150"/>
    </row>
    <row r="372" spans="2:10" ht="15.75" x14ac:dyDescent="0.25">
      <c r="B372" s="148">
        <v>336</v>
      </c>
      <c r="C372" s="144"/>
      <c r="D372" s="145"/>
      <c r="E372" s="149"/>
      <c r="G372" s="150"/>
      <c r="H372" s="150"/>
      <c r="I372" s="150"/>
      <c r="J372" s="150"/>
    </row>
    <row r="373" spans="2:10" ht="15.75" x14ac:dyDescent="0.25">
      <c r="B373" s="148">
        <v>337</v>
      </c>
      <c r="C373" s="144"/>
      <c r="D373" s="145"/>
      <c r="E373" s="149"/>
      <c r="G373" s="150"/>
      <c r="H373" s="150"/>
      <c r="I373" s="150"/>
      <c r="J373" s="150"/>
    </row>
    <row r="374" spans="2:10" ht="15.75" x14ac:dyDescent="0.25">
      <c r="B374" s="148">
        <v>338</v>
      </c>
      <c r="C374" s="144"/>
      <c r="D374" s="145"/>
      <c r="E374" s="149"/>
      <c r="G374" s="150"/>
      <c r="H374" s="150"/>
      <c r="I374" s="150"/>
      <c r="J374" s="150"/>
    </row>
    <row r="375" spans="2:10" ht="15.75" x14ac:dyDescent="0.25">
      <c r="B375" s="148">
        <v>339</v>
      </c>
      <c r="C375" s="144"/>
      <c r="D375" s="145"/>
      <c r="E375" s="149"/>
      <c r="G375" s="150"/>
      <c r="H375" s="150"/>
      <c r="I375" s="150"/>
      <c r="J375" s="150"/>
    </row>
    <row r="376" spans="2:10" ht="15.75" x14ac:dyDescent="0.25">
      <c r="B376" s="148">
        <v>340</v>
      </c>
      <c r="C376" s="144"/>
      <c r="D376" s="145"/>
      <c r="E376" s="149"/>
      <c r="G376" s="150"/>
      <c r="H376" s="150"/>
      <c r="I376" s="150"/>
      <c r="J376" s="150"/>
    </row>
    <row r="377" spans="2:10" ht="15.75" x14ac:dyDescent="0.25">
      <c r="B377" s="148">
        <v>341</v>
      </c>
      <c r="C377" s="144"/>
      <c r="D377" s="145"/>
      <c r="E377" s="149"/>
      <c r="G377" s="150"/>
      <c r="H377" s="150"/>
      <c r="I377" s="150"/>
      <c r="J377" s="150"/>
    </row>
    <row r="378" spans="2:10" ht="15.75" x14ac:dyDescent="0.25">
      <c r="B378" s="148">
        <v>342</v>
      </c>
      <c r="C378" s="144"/>
      <c r="D378" s="145"/>
      <c r="E378" s="149"/>
      <c r="G378" s="150"/>
      <c r="H378" s="150"/>
      <c r="I378" s="150"/>
      <c r="J378" s="150"/>
    </row>
    <row r="379" spans="2:10" ht="15.75" x14ac:dyDescent="0.25">
      <c r="B379" s="148">
        <v>343</v>
      </c>
      <c r="C379" s="144"/>
      <c r="D379" s="145"/>
      <c r="E379" s="149"/>
      <c r="G379" s="150"/>
      <c r="H379" s="150"/>
      <c r="I379" s="150"/>
      <c r="J379" s="150"/>
    </row>
    <row r="380" spans="2:10" ht="15.75" x14ac:dyDescent="0.25">
      <c r="B380" s="148">
        <v>344</v>
      </c>
      <c r="C380" s="144"/>
      <c r="D380" s="145"/>
      <c r="E380" s="149"/>
      <c r="G380" s="150"/>
      <c r="H380" s="150"/>
      <c r="I380" s="150"/>
      <c r="J380" s="150"/>
    </row>
    <row r="381" spans="2:10" ht="15.75" x14ac:dyDescent="0.25">
      <c r="B381" s="148">
        <v>345</v>
      </c>
      <c r="C381" s="144"/>
      <c r="D381" s="145"/>
      <c r="E381" s="149"/>
      <c r="G381" s="150"/>
      <c r="H381" s="150"/>
      <c r="I381" s="150"/>
      <c r="J381" s="150"/>
    </row>
    <row r="382" spans="2:10" ht="15.75" x14ac:dyDescent="0.25">
      <c r="B382" s="148">
        <v>346</v>
      </c>
      <c r="C382" s="144"/>
      <c r="D382" s="145"/>
      <c r="E382" s="149"/>
      <c r="G382" s="150"/>
      <c r="H382" s="150"/>
      <c r="I382" s="150"/>
      <c r="J382" s="150"/>
    </row>
    <row r="383" spans="2:10" ht="15.75" x14ac:dyDescent="0.25">
      <c r="B383" s="148">
        <v>347</v>
      </c>
      <c r="C383" s="144"/>
      <c r="D383" s="145"/>
      <c r="E383" s="149"/>
      <c r="G383" s="150"/>
      <c r="H383" s="150"/>
      <c r="I383" s="150"/>
      <c r="J383" s="150"/>
    </row>
    <row r="384" spans="2:10" ht="15.75" x14ac:dyDescent="0.25">
      <c r="B384" s="148">
        <v>348</v>
      </c>
      <c r="C384" s="144"/>
      <c r="D384" s="145"/>
      <c r="E384" s="149"/>
      <c r="G384" s="150"/>
      <c r="H384" s="150"/>
      <c r="I384" s="150"/>
      <c r="J384" s="150"/>
    </row>
    <row r="385" spans="2:10" ht="15.75" x14ac:dyDescent="0.25">
      <c r="B385" s="148">
        <v>349</v>
      </c>
      <c r="C385" s="144"/>
      <c r="D385" s="145"/>
      <c r="E385" s="149"/>
      <c r="G385" s="150"/>
      <c r="H385" s="150"/>
      <c r="I385" s="150"/>
      <c r="J385" s="150"/>
    </row>
    <row r="386" spans="2:10" ht="15.75" x14ac:dyDescent="0.25">
      <c r="B386" s="148">
        <v>350</v>
      </c>
      <c r="C386" s="144"/>
      <c r="D386" s="145"/>
      <c r="E386" s="149"/>
      <c r="G386" s="150"/>
      <c r="H386" s="150"/>
      <c r="I386" s="150"/>
      <c r="J386" s="150"/>
    </row>
    <row r="387" spans="2:10" ht="15.75" x14ac:dyDescent="0.25">
      <c r="B387" s="148">
        <v>351</v>
      </c>
      <c r="C387" s="144"/>
      <c r="D387" s="145"/>
      <c r="E387" s="149"/>
      <c r="G387" s="150"/>
      <c r="H387" s="150"/>
      <c r="I387" s="150"/>
      <c r="J387" s="150"/>
    </row>
    <row r="388" spans="2:10" ht="15.75" x14ac:dyDescent="0.25">
      <c r="B388" s="148">
        <v>352</v>
      </c>
      <c r="C388" s="144"/>
      <c r="D388" s="145"/>
      <c r="E388" s="149"/>
      <c r="G388" s="150"/>
      <c r="H388" s="150"/>
      <c r="I388" s="150"/>
      <c r="J388" s="150"/>
    </row>
    <row r="389" spans="2:10" ht="15.75" x14ac:dyDescent="0.25">
      <c r="B389" s="148">
        <v>353</v>
      </c>
      <c r="C389" s="144"/>
      <c r="D389" s="145"/>
      <c r="E389" s="149"/>
      <c r="G389" s="150"/>
      <c r="H389" s="150"/>
      <c r="I389" s="150"/>
      <c r="J389" s="150"/>
    </row>
    <row r="390" spans="2:10" ht="15.75" x14ac:dyDescent="0.25">
      <c r="B390" s="148">
        <v>354</v>
      </c>
      <c r="C390" s="144"/>
      <c r="D390" s="145"/>
      <c r="E390" s="149"/>
      <c r="G390" s="150"/>
      <c r="H390" s="150"/>
      <c r="I390" s="150"/>
      <c r="J390" s="150"/>
    </row>
    <row r="391" spans="2:10" ht="15.75" x14ac:dyDescent="0.25">
      <c r="B391" s="148">
        <v>355</v>
      </c>
      <c r="C391" s="144"/>
      <c r="D391" s="145"/>
      <c r="E391" s="149"/>
      <c r="G391" s="150"/>
      <c r="H391" s="150"/>
      <c r="I391" s="150"/>
      <c r="J391" s="150"/>
    </row>
    <row r="392" spans="2:10" ht="15.75" x14ac:dyDescent="0.25">
      <c r="B392" s="148">
        <v>356</v>
      </c>
      <c r="C392" s="144"/>
      <c r="D392" s="145"/>
      <c r="E392" s="149"/>
      <c r="G392" s="150"/>
      <c r="H392" s="150"/>
      <c r="I392" s="150"/>
      <c r="J392" s="150"/>
    </row>
    <row r="393" spans="2:10" ht="15.75" x14ac:dyDescent="0.25">
      <c r="B393" s="148">
        <v>357</v>
      </c>
      <c r="C393" s="144"/>
      <c r="D393" s="145"/>
      <c r="E393" s="149"/>
      <c r="G393" s="150"/>
      <c r="H393" s="150"/>
      <c r="I393" s="150"/>
      <c r="J393" s="150"/>
    </row>
    <row r="394" spans="2:10" ht="15.75" x14ac:dyDescent="0.25">
      <c r="B394" s="148">
        <v>358</v>
      </c>
      <c r="C394" s="144"/>
      <c r="D394" s="145"/>
      <c r="E394" s="149"/>
      <c r="G394" s="150"/>
      <c r="H394" s="150"/>
      <c r="I394" s="150"/>
      <c r="J394" s="150"/>
    </row>
    <row r="395" spans="2:10" ht="15.75" x14ac:dyDescent="0.25">
      <c r="B395" s="148">
        <v>359</v>
      </c>
      <c r="C395" s="144"/>
      <c r="D395" s="145"/>
      <c r="E395" s="149"/>
      <c r="G395" s="150"/>
      <c r="H395" s="150"/>
      <c r="I395" s="150"/>
      <c r="J395" s="150"/>
    </row>
    <row r="396" spans="2:10" ht="15.75" x14ac:dyDescent="0.25">
      <c r="B396" s="148">
        <v>360</v>
      </c>
      <c r="C396" s="144"/>
      <c r="D396" s="145"/>
      <c r="E396" s="149"/>
      <c r="G396" s="150"/>
      <c r="H396" s="150"/>
      <c r="I396" s="150"/>
      <c r="J396" s="150"/>
    </row>
    <row r="397" spans="2:10" ht="15.75" x14ac:dyDescent="0.25">
      <c r="B397" s="148">
        <v>361</v>
      </c>
      <c r="C397" s="144"/>
      <c r="D397" s="145"/>
      <c r="E397" s="149"/>
      <c r="G397" s="150"/>
      <c r="H397" s="150"/>
      <c r="I397" s="150"/>
      <c r="J397" s="150"/>
    </row>
    <row r="398" spans="2:10" ht="15.75" x14ac:dyDescent="0.25">
      <c r="B398" s="148">
        <v>362</v>
      </c>
      <c r="C398" s="144"/>
      <c r="D398" s="145"/>
      <c r="E398" s="149"/>
      <c r="G398" s="150"/>
      <c r="H398" s="150"/>
      <c r="I398" s="150"/>
      <c r="J398" s="150"/>
    </row>
    <row r="399" spans="2:10" ht="15.75" x14ac:dyDescent="0.25">
      <c r="B399" s="148">
        <v>363</v>
      </c>
      <c r="C399" s="144"/>
      <c r="D399" s="145"/>
      <c r="E399" s="149"/>
      <c r="G399" s="150"/>
      <c r="H399" s="150"/>
      <c r="I399" s="150"/>
      <c r="J399" s="150"/>
    </row>
    <row r="400" spans="2:10" ht="15.75" x14ac:dyDescent="0.25">
      <c r="B400" s="148">
        <v>364</v>
      </c>
      <c r="C400" s="144"/>
      <c r="D400" s="145"/>
      <c r="E400" s="149"/>
      <c r="G400" s="150"/>
      <c r="H400" s="150"/>
      <c r="I400" s="150"/>
      <c r="J400" s="150"/>
    </row>
    <row r="401" spans="2:10" ht="15.75" x14ac:dyDescent="0.25">
      <c r="B401" s="148">
        <v>365</v>
      </c>
      <c r="C401" s="144"/>
      <c r="D401" s="145"/>
      <c r="E401" s="149"/>
      <c r="G401" s="150"/>
      <c r="H401" s="150"/>
      <c r="I401" s="150"/>
      <c r="J401" s="150"/>
    </row>
    <row r="402" spans="2:10" ht="15.75" x14ac:dyDescent="0.25">
      <c r="B402" s="148">
        <v>366</v>
      </c>
      <c r="C402" s="144"/>
      <c r="D402" s="145"/>
      <c r="E402" s="149"/>
      <c r="G402" s="150"/>
      <c r="H402" s="150"/>
      <c r="I402" s="150"/>
      <c r="J402" s="150"/>
    </row>
    <row r="403" spans="2:10" ht="15.75" x14ac:dyDescent="0.25">
      <c r="B403" s="148">
        <v>367</v>
      </c>
      <c r="C403" s="144"/>
      <c r="D403" s="145"/>
      <c r="E403" s="149"/>
      <c r="G403" s="150"/>
      <c r="H403" s="150"/>
      <c r="I403" s="150"/>
      <c r="J403" s="150"/>
    </row>
    <row r="404" spans="2:10" ht="15.75" x14ac:dyDescent="0.25">
      <c r="B404" s="148">
        <v>368</v>
      </c>
      <c r="C404" s="144"/>
      <c r="D404" s="145"/>
      <c r="E404" s="149"/>
      <c r="G404" s="150"/>
      <c r="H404" s="150"/>
      <c r="I404" s="150"/>
      <c r="J404" s="150"/>
    </row>
    <row r="405" spans="2:10" ht="15.75" x14ac:dyDescent="0.25">
      <c r="B405" s="148">
        <v>369</v>
      </c>
      <c r="C405" s="144"/>
      <c r="D405" s="145"/>
      <c r="E405" s="149"/>
      <c r="G405" s="150"/>
      <c r="H405" s="150"/>
      <c r="I405" s="150"/>
      <c r="J405" s="150"/>
    </row>
    <row r="406" spans="2:10" ht="15.75" x14ac:dyDescent="0.25">
      <c r="B406" s="148">
        <v>370</v>
      </c>
      <c r="C406" s="144"/>
      <c r="D406" s="145"/>
      <c r="E406" s="149"/>
      <c r="G406" s="150"/>
      <c r="H406" s="150"/>
      <c r="I406" s="150"/>
      <c r="J406" s="150"/>
    </row>
    <row r="407" spans="2:10" ht="15.75" x14ac:dyDescent="0.25">
      <c r="B407" s="148">
        <v>371</v>
      </c>
      <c r="C407" s="144"/>
      <c r="D407" s="145"/>
      <c r="E407" s="149"/>
      <c r="G407" s="150"/>
      <c r="H407" s="150"/>
      <c r="I407" s="150"/>
      <c r="J407" s="150"/>
    </row>
    <row r="408" spans="2:10" ht="15.75" x14ac:dyDescent="0.25">
      <c r="B408" s="148">
        <v>372</v>
      </c>
      <c r="C408" s="144"/>
      <c r="D408" s="145"/>
      <c r="E408" s="149"/>
      <c r="G408" s="150"/>
      <c r="H408" s="150"/>
      <c r="I408" s="150"/>
      <c r="J408" s="150"/>
    </row>
    <row r="409" spans="2:10" ht="15.75" x14ac:dyDescent="0.25">
      <c r="B409" s="148">
        <v>373</v>
      </c>
      <c r="C409" s="144"/>
      <c r="D409" s="145"/>
      <c r="E409" s="149"/>
      <c r="G409" s="150"/>
      <c r="H409" s="150"/>
      <c r="I409" s="150"/>
      <c r="J409" s="150"/>
    </row>
    <row r="410" spans="2:10" ht="15.75" x14ac:dyDescent="0.25">
      <c r="B410" s="148">
        <v>374</v>
      </c>
      <c r="C410" s="144"/>
      <c r="D410" s="145"/>
      <c r="E410" s="149"/>
      <c r="G410" s="150"/>
      <c r="H410" s="150"/>
      <c r="I410" s="150"/>
      <c r="J410" s="150"/>
    </row>
    <row r="411" spans="2:10" ht="15.75" x14ac:dyDescent="0.25">
      <c r="B411" s="148">
        <v>375</v>
      </c>
      <c r="C411" s="144"/>
      <c r="D411" s="145"/>
      <c r="E411" s="149"/>
      <c r="G411" s="150"/>
      <c r="H411" s="150"/>
      <c r="I411" s="150"/>
      <c r="J411" s="150"/>
    </row>
    <row r="412" spans="2:10" ht="15.75" x14ac:dyDescent="0.25">
      <c r="B412" s="148">
        <v>376</v>
      </c>
      <c r="C412" s="144"/>
      <c r="D412" s="145"/>
      <c r="E412" s="149"/>
      <c r="G412" s="150"/>
      <c r="H412" s="150"/>
      <c r="I412" s="150"/>
      <c r="J412" s="150"/>
    </row>
    <row r="413" spans="2:10" ht="15.75" x14ac:dyDescent="0.25">
      <c r="B413" s="148">
        <v>377</v>
      </c>
      <c r="C413" s="144"/>
      <c r="D413" s="145"/>
      <c r="E413" s="149"/>
      <c r="G413" s="150"/>
      <c r="H413" s="150"/>
      <c r="I413" s="150"/>
      <c r="J413" s="150"/>
    </row>
    <row r="414" spans="2:10" ht="15.75" x14ac:dyDescent="0.25">
      <c r="B414" s="148">
        <v>378</v>
      </c>
      <c r="C414" s="144"/>
      <c r="D414" s="145"/>
      <c r="E414" s="149"/>
      <c r="G414" s="150"/>
      <c r="H414" s="150"/>
      <c r="I414" s="150"/>
      <c r="J414" s="150"/>
    </row>
    <row r="415" spans="2:10" ht="15.75" x14ac:dyDescent="0.25">
      <c r="B415" s="148">
        <v>379</v>
      </c>
      <c r="C415" s="144"/>
      <c r="D415" s="145"/>
      <c r="E415" s="149"/>
      <c r="G415" s="150"/>
      <c r="H415" s="150"/>
      <c r="I415" s="150"/>
      <c r="J415" s="150"/>
    </row>
    <row r="416" spans="2:10" ht="15.75" x14ac:dyDescent="0.25">
      <c r="B416" s="148">
        <v>380</v>
      </c>
      <c r="C416" s="144"/>
      <c r="D416" s="145"/>
      <c r="E416" s="149"/>
      <c r="G416" s="150"/>
      <c r="H416" s="150"/>
      <c r="I416" s="150"/>
      <c r="J416" s="150"/>
    </row>
    <row r="417" spans="2:10" ht="15.75" x14ac:dyDescent="0.25">
      <c r="B417" s="148">
        <v>381</v>
      </c>
      <c r="C417" s="144"/>
      <c r="D417" s="145"/>
      <c r="E417" s="149"/>
      <c r="G417" s="150"/>
      <c r="H417" s="150"/>
      <c r="I417" s="150"/>
      <c r="J417" s="150"/>
    </row>
    <row r="418" spans="2:10" ht="15.75" x14ac:dyDescent="0.25">
      <c r="B418" s="148">
        <v>382</v>
      </c>
      <c r="C418" s="144"/>
      <c r="D418" s="145"/>
      <c r="E418" s="149"/>
      <c r="G418" s="150"/>
      <c r="H418" s="150"/>
      <c r="I418" s="150"/>
      <c r="J418" s="150"/>
    </row>
    <row r="419" spans="2:10" ht="15.75" x14ac:dyDescent="0.25">
      <c r="B419" s="148">
        <v>383</v>
      </c>
      <c r="C419" s="144"/>
      <c r="D419" s="145"/>
      <c r="E419" s="149"/>
      <c r="G419" s="150"/>
      <c r="H419" s="150"/>
      <c r="I419" s="150"/>
      <c r="J419" s="150"/>
    </row>
    <row r="420" spans="2:10" ht="15.75" x14ac:dyDescent="0.25">
      <c r="B420" s="148">
        <v>384</v>
      </c>
      <c r="C420" s="144"/>
      <c r="D420" s="145"/>
      <c r="E420" s="149"/>
      <c r="G420" s="150"/>
      <c r="H420" s="150"/>
      <c r="I420" s="150"/>
      <c r="J420" s="150"/>
    </row>
    <row r="421" spans="2:10" ht="15.75" x14ac:dyDescent="0.25">
      <c r="B421" s="148">
        <v>385</v>
      </c>
      <c r="C421" s="144"/>
      <c r="D421" s="145"/>
      <c r="E421" s="149"/>
      <c r="G421" s="150"/>
      <c r="H421" s="150"/>
      <c r="I421" s="150"/>
      <c r="J421" s="150"/>
    </row>
    <row r="422" spans="2:10" ht="15.75" x14ac:dyDescent="0.25">
      <c r="B422" s="148">
        <v>386</v>
      </c>
      <c r="C422" s="144"/>
      <c r="D422" s="145"/>
      <c r="E422" s="149"/>
      <c r="G422" s="150"/>
      <c r="H422" s="150"/>
      <c r="I422" s="150"/>
      <c r="J422" s="150"/>
    </row>
    <row r="423" spans="2:10" ht="15.75" x14ac:dyDescent="0.25">
      <c r="B423" s="148">
        <v>387</v>
      </c>
      <c r="C423" s="144"/>
      <c r="D423" s="145"/>
      <c r="E423" s="149"/>
      <c r="G423" s="150"/>
      <c r="H423" s="150"/>
      <c r="I423" s="150"/>
      <c r="J423" s="150"/>
    </row>
    <row r="424" spans="2:10" ht="15.75" x14ac:dyDescent="0.25">
      <c r="B424" s="148">
        <v>388</v>
      </c>
      <c r="C424" s="144"/>
      <c r="D424" s="145"/>
      <c r="E424" s="149"/>
      <c r="G424" s="150"/>
      <c r="H424" s="150"/>
      <c r="I424" s="150"/>
      <c r="J424" s="150"/>
    </row>
    <row r="425" spans="2:10" ht="15.75" x14ac:dyDescent="0.25">
      <c r="B425" s="148">
        <v>389</v>
      </c>
      <c r="C425" s="144"/>
      <c r="D425" s="145"/>
      <c r="E425" s="149"/>
      <c r="G425" s="150"/>
      <c r="H425" s="150"/>
      <c r="I425" s="150"/>
      <c r="J425" s="150"/>
    </row>
    <row r="426" spans="2:10" ht="15.75" x14ac:dyDescent="0.25">
      <c r="B426" s="148">
        <v>390</v>
      </c>
      <c r="C426" s="144"/>
      <c r="D426" s="145"/>
      <c r="E426" s="149"/>
      <c r="G426" s="150"/>
      <c r="H426" s="150"/>
      <c r="I426" s="150"/>
      <c r="J426" s="150"/>
    </row>
    <row r="427" spans="2:10" ht="15.75" x14ac:dyDescent="0.25">
      <c r="B427" s="148">
        <v>391</v>
      </c>
      <c r="C427" s="144"/>
      <c r="D427" s="145"/>
      <c r="E427" s="149"/>
      <c r="G427" s="150"/>
      <c r="H427" s="150"/>
      <c r="I427" s="150"/>
      <c r="J427" s="150"/>
    </row>
    <row r="428" spans="2:10" ht="15.75" x14ac:dyDescent="0.25">
      <c r="B428" s="148">
        <v>392</v>
      </c>
      <c r="C428" s="144"/>
      <c r="D428" s="145"/>
      <c r="E428" s="149"/>
      <c r="G428" s="150"/>
      <c r="H428" s="150"/>
      <c r="I428" s="150"/>
      <c r="J428" s="150"/>
    </row>
    <row r="429" spans="2:10" ht="15.75" x14ac:dyDescent="0.25">
      <c r="B429" s="148">
        <v>393</v>
      </c>
      <c r="C429" s="144"/>
      <c r="D429" s="145"/>
      <c r="E429" s="149"/>
      <c r="G429" s="150"/>
      <c r="H429" s="150"/>
      <c r="I429" s="150"/>
      <c r="J429" s="150"/>
    </row>
    <row r="430" spans="2:10" ht="15.75" x14ac:dyDescent="0.25">
      <c r="B430" s="148">
        <v>394</v>
      </c>
      <c r="C430" s="144"/>
      <c r="D430" s="145"/>
      <c r="E430" s="149"/>
      <c r="G430" s="150"/>
      <c r="H430" s="150"/>
      <c r="I430" s="150"/>
      <c r="J430" s="150"/>
    </row>
    <row r="431" spans="2:10" ht="15.75" x14ac:dyDescent="0.25">
      <c r="B431" s="148">
        <v>395</v>
      </c>
      <c r="C431" s="144"/>
      <c r="D431" s="145"/>
      <c r="E431" s="149"/>
      <c r="G431" s="150"/>
      <c r="H431" s="150"/>
      <c r="I431" s="150"/>
      <c r="J431" s="150"/>
    </row>
    <row r="432" spans="2:10" ht="15.75" x14ac:dyDescent="0.25">
      <c r="B432" s="148">
        <v>396</v>
      </c>
      <c r="C432" s="144"/>
      <c r="D432" s="145"/>
      <c r="E432" s="149"/>
      <c r="G432" s="150"/>
      <c r="H432" s="150"/>
      <c r="I432" s="150"/>
      <c r="J432" s="150"/>
    </row>
    <row r="433" spans="2:10" ht="15.75" x14ac:dyDescent="0.25">
      <c r="B433" s="148">
        <v>397</v>
      </c>
      <c r="C433" s="144"/>
      <c r="D433" s="145"/>
      <c r="E433" s="149"/>
      <c r="G433" s="150"/>
      <c r="H433" s="150"/>
      <c r="I433" s="150"/>
      <c r="J433" s="150"/>
    </row>
    <row r="434" spans="2:10" ht="15.75" x14ac:dyDescent="0.25">
      <c r="B434" s="148">
        <v>398</v>
      </c>
      <c r="C434" s="144"/>
      <c r="D434" s="145"/>
      <c r="E434" s="149"/>
      <c r="G434" s="150"/>
      <c r="H434" s="150"/>
      <c r="I434" s="150"/>
      <c r="J434" s="150"/>
    </row>
    <row r="435" spans="2:10" ht="15.75" x14ac:dyDescent="0.25">
      <c r="B435" s="148">
        <v>399</v>
      </c>
      <c r="C435" s="144"/>
      <c r="D435" s="145"/>
      <c r="E435" s="149"/>
      <c r="G435" s="150"/>
      <c r="H435" s="150"/>
      <c r="I435" s="150"/>
      <c r="J435" s="150"/>
    </row>
    <row r="436" spans="2:10" ht="15.75" x14ac:dyDescent="0.25">
      <c r="B436" s="148">
        <v>400</v>
      </c>
      <c r="C436" s="144"/>
      <c r="D436" s="145"/>
      <c r="E436" s="149"/>
      <c r="G436" s="150"/>
      <c r="H436" s="150"/>
      <c r="I436" s="150"/>
      <c r="J436" s="150"/>
    </row>
    <row r="437" spans="2:10" ht="15.75" x14ac:dyDescent="0.25">
      <c r="B437" s="148">
        <v>401</v>
      </c>
      <c r="C437" s="144"/>
      <c r="D437" s="145"/>
      <c r="E437" s="149"/>
      <c r="G437" s="150"/>
      <c r="H437" s="150"/>
      <c r="I437" s="150"/>
      <c r="J437" s="150"/>
    </row>
    <row r="438" spans="2:10" ht="15.75" x14ac:dyDescent="0.25">
      <c r="B438" s="148">
        <v>402</v>
      </c>
      <c r="C438" s="144"/>
      <c r="D438" s="145"/>
      <c r="E438" s="149"/>
      <c r="G438" s="150"/>
      <c r="H438" s="150"/>
      <c r="I438" s="150"/>
      <c r="J438" s="150"/>
    </row>
    <row r="439" spans="2:10" ht="15.75" x14ac:dyDescent="0.25">
      <c r="B439" s="148">
        <v>403</v>
      </c>
      <c r="C439" s="144"/>
      <c r="D439" s="145"/>
      <c r="E439" s="149"/>
      <c r="G439" s="150"/>
      <c r="H439" s="150"/>
      <c r="I439" s="150"/>
      <c r="J439" s="150"/>
    </row>
    <row r="440" spans="2:10" ht="15.75" x14ac:dyDescent="0.25">
      <c r="B440" s="148">
        <v>404</v>
      </c>
      <c r="C440" s="144"/>
      <c r="D440" s="145"/>
      <c r="E440" s="149"/>
      <c r="G440" s="150"/>
      <c r="H440" s="150"/>
      <c r="I440" s="150"/>
      <c r="J440" s="150"/>
    </row>
    <row r="441" spans="2:10" ht="15.75" x14ac:dyDescent="0.25">
      <c r="B441" s="148">
        <v>405</v>
      </c>
      <c r="C441" s="144"/>
      <c r="D441" s="145"/>
      <c r="E441" s="149"/>
      <c r="G441" s="150"/>
      <c r="H441" s="150"/>
      <c r="I441" s="150"/>
      <c r="J441" s="150"/>
    </row>
    <row r="442" spans="2:10" ht="15.75" x14ac:dyDescent="0.25">
      <c r="B442" s="148">
        <v>406</v>
      </c>
      <c r="C442" s="144"/>
      <c r="D442" s="145"/>
      <c r="E442" s="149"/>
      <c r="G442" s="150"/>
      <c r="H442" s="150"/>
      <c r="I442" s="150"/>
      <c r="J442" s="150"/>
    </row>
    <row r="443" spans="2:10" ht="15.75" x14ac:dyDescent="0.25">
      <c r="B443" s="148">
        <v>407</v>
      </c>
      <c r="C443" s="144"/>
      <c r="D443" s="145"/>
      <c r="E443" s="149"/>
      <c r="G443" s="150"/>
      <c r="H443" s="150"/>
      <c r="I443" s="150"/>
      <c r="J443" s="150"/>
    </row>
    <row r="444" spans="2:10" ht="15.75" x14ac:dyDescent="0.25">
      <c r="B444" s="148">
        <v>408</v>
      </c>
      <c r="C444" s="144"/>
      <c r="D444" s="145"/>
      <c r="E444" s="149"/>
      <c r="G444" s="150"/>
      <c r="H444" s="150"/>
      <c r="I444" s="150"/>
      <c r="J444" s="150"/>
    </row>
    <row r="445" spans="2:10" ht="15.75" x14ac:dyDescent="0.25">
      <c r="B445" s="148">
        <v>409</v>
      </c>
      <c r="C445" s="144"/>
      <c r="D445" s="145"/>
      <c r="E445" s="149"/>
      <c r="G445" s="150"/>
      <c r="H445" s="150"/>
      <c r="I445" s="150"/>
      <c r="J445" s="150"/>
    </row>
    <row r="446" spans="2:10" ht="15.75" x14ac:dyDescent="0.25">
      <c r="B446" s="148">
        <v>410</v>
      </c>
      <c r="C446" s="144"/>
      <c r="D446" s="145"/>
      <c r="E446" s="149"/>
      <c r="G446" s="150"/>
      <c r="H446" s="150"/>
      <c r="I446" s="150"/>
      <c r="J446" s="150"/>
    </row>
    <row r="447" spans="2:10" ht="15.75" x14ac:dyDescent="0.25">
      <c r="B447" s="148">
        <v>411</v>
      </c>
      <c r="C447" s="144"/>
      <c r="D447" s="145"/>
      <c r="E447" s="149"/>
      <c r="G447" s="150"/>
      <c r="H447" s="150"/>
      <c r="I447" s="150"/>
      <c r="J447" s="150"/>
    </row>
    <row r="448" spans="2:10" ht="15.75" x14ac:dyDescent="0.25">
      <c r="B448" s="148">
        <v>412</v>
      </c>
      <c r="C448" s="144"/>
      <c r="D448" s="145"/>
      <c r="E448" s="149"/>
      <c r="G448" s="150"/>
      <c r="H448" s="150"/>
      <c r="I448" s="150"/>
      <c r="J448" s="150"/>
    </row>
    <row r="449" spans="2:10" ht="15.75" x14ac:dyDescent="0.25">
      <c r="B449" s="148">
        <v>413</v>
      </c>
      <c r="C449" s="144"/>
      <c r="D449" s="145"/>
      <c r="E449" s="149"/>
      <c r="G449" s="150"/>
      <c r="H449" s="150"/>
      <c r="I449" s="150"/>
      <c r="J449" s="150"/>
    </row>
    <row r="450" spans="2:10" ht="15.75" x14ac:dyDescent="0.25">
      <c r="B450" s="148">
        <v>414</v>
      </c>
      <c r="C450" s="144"/>
      <c r="D450" s="145"/>
      <c r="E450" s="149"/>
      <c r="G450" s="150"/>
      <c r="H450" s="150"/>
      <c r="I450" s="150"/>
      <c r="J450" s="150"/>
    </row>
    <row r="451" spans="2:10" ht="15.75" x14ac:dyDescent="0.25">
      <c r="B451" s="148">
        <v>415</v>
      </c>
      <c r="C451" s="144"/>
      <c r="D451" s="145"/>
      <c r="E451" s="149"/>
      <c r="G451" s="150"/>
      <c r="H451" s="150"/>
      <c r="I451" s="150"/>
      <c r="J451" s="150"/>
    </row>
    <row r="452" spans="2:10" ht="15.75" x14ac:dyDescent="0.25">
      <c r="B452" s="148">
        <v>416</v>
      </c>
      <c r="C452" s="144"/>
      <c r="D452" s="145"/>
      <c r="E452" s="149"/>
      <c r="G452" s="150"/>
      <c r="H452" s="150"/>
      <c r="I452" s="150"/>
      <c r="J452" s="150"/>
    </row>
    <row r="453" spans="2:10" ht="15.75" x14ac:dyDescent="0.25">
      <c r="B453" s="148">
        <v>417</v>
      </c>
      <c r="C453" s="144"/>
      <c r="D453" s="145"/>
      <c r="E453" s="149"/>
      <c r="G453" s="150"/>
      <c r="H453" s="150"/>
      <c r="I453" s="150"/>
      <c r="J453" s="150"/>
    </row>
    <row r="454" spans="2:10" ht="15.75" x14ac:dyDescent="0.25">
      <c r="B454" s="148">
        <v>418</v>
      </c>
      <c r="C454" s="144"/>
      <c r="D454" s="145"/>
      <c r="E454" s="149"/>
      <c r="G454" s="150"/>
      <c r="H454" s="150"/>
      <c r="I454" s="150"/>
      <c r="J454" s="150"/>
    </row>
    <row r="455" spans="2:10" ht="15.75" x14ac:dyDescent="0.25">
      <c r="B455" s="148">
        <v>419</v>
      </c>
      <c r="C455" s="144"/>
      <c r="D455" s="145"/>
      <c r="E455" s="149"/>
      <c r="G455" s="150"/>
      <c r="H455" s="150"/>
      <c r="I455" s="150"/>
      <c r="J455" s="150"/>
    </row>
    <row r="456" spans="2:10" ht="15.75" x14ac:dyDescent="0.25">
      <c r="B456" s="148">
        <v>420</v>
      </c>
      <c r="C456" s="144"/>
      <c r="D456" s="145"/>
      <c r="E456" s="149"/>
      <c r="G456" s="150"/>
      <c r="H456" s="150"/>
      <c r="I456" s="150"/>
      <c r="J456" s="150"/>
    </row>
    <row r="457" spans="2:10" ht="15.75" x14ac:dyDescent="0.25">
      <c r="B457" s="148">
        <v>421</v>
      </c>
      <c r="C457" s="144"/>
      <c r="D457" s="145"/>
      <c r="E457" s="149"/>
      <c r="G457" s="150"/>
      <c r="H457" s="150"/>
      <c r="I457" s="150"/>
      <c r="J457" s="150"/>
    </row>
    <row r="458" spans="2:10" ht="15.75" x14ac:dyDescent="0.25">
      <c r="B458" s="148">
        <v>422</v>
      </c>
      <c r="C458" s="144"/>
      <c r="D458" s="145"/>
      <c r="E458" s="149"/>
      <c r="G458" s="150"/>
      <c r="H458" s="150"/>
      <c r="I458" s="150"/>
      <c r="J458" s="150"/>
    </row>
    <row r="459" spans="2:10" ht="15.75" x14ac:dyDescent="0.25">
      <c r="B459" s="148">
        <v>423</v>
      </c>
      <c r="C459" s="144"/>
      <c r="D459" s="145"/>
      <c r="E459" s="149"/>
      <c r="G459" s="150"/>
      <c r="H459" s="150"/>
      <c r="I459" s="150"/>
      <c r="J459" s="150"/>
    </row>
    <row r="460" spans="2:10" ht="15.75" x14ac:dyDescent="0.25">
      <c r="B460" s="148">
        <v>424</v>
      </c>
      <c r="C460" s="144"/>
      <c r="D460" s="145"/>
      <c r="E460" s="149"/>
      <c r="G460" s="150"/>
      <c r="H460" s="150"/>
      <c r="I460" s="150"/>
      <c r="J460" s="150"/>
    </row>
    <row r="461" spans="2:10" ht="15.75" x14ac:dyDescent="0.25">
      <c r="B461" s="148">
        <v>425</v>
      </c>
      <c r="C461" s="144"/>
      <c r="D461" s="145"/>
      <c r="E461" s="149"/>
      <c r="G461" s="150"/>
      <c r="H461" s="150"/>
      <c r="I461" s="150"/>
      <c r="J461" s="150"/>
    </row>
    <row r="462" spans="2:10" ht="15.75" x14ac:dyDescent="0.25">
      <c r="B462" s="148">
        <v>426</v>
      </c>
      <c r="C462" s="144"/>
      <c r="D462" s="145"/>
      <c r="E462" s="149"/>
      <c r="G462" s="150"/>
      <c r="H462" s="150"/>
      <c r="I462" s="150"/>
      <c r="J462" s="150"/>
    </row>
    <row r="463" spans="2:10" ht="15.75" x14ac:dyDescent="0.25">
      <c r="B463" s="148">
        <v>427</v>
      </c>
      <c r="C463" s="144"/>
      <c r="D463" s="145"/>
      <c r="E463" s="149"/>
      <c r="G463" s="150"/>
      <c r="H463" s="150"/>
      <c r="I463" s="150"/>
      <c r="J463" s="150"/>
    </row>
    <row r="464" spans="2:10" ht="15.75" x14ac:dyDescent="0.25">
      <c r="B464" s="148">
        <v>428</v>
      </c>
      <c r="C464" s="144"/>
      <c r="D464" s="145"/>
      <c r="E464" s="149"/>
      <c r="G464" s="150"/>
      <c r="H464" s="150"/>
      <c r="I464" s="150"/>
      <c r="J464" s="150"/>
    </row>
    <row r="465" spans="2:10" ht="15.75" x14ac:dyDescent="0.25">
      <c r="B465" s="148">
        <v>429</v>
      </c>
      <c r="C465" s="144"/>
      <c r="D465" s="145"/>
      <c r="E465" s="149"/>
      <c r="G465" s="150"/>
      <c r="H465" s="150"/>
      <c r="I465" s="150"/>
      <c r="J465" s="150"/>
    </row>
    <row r="466" spans="2:10" ht="15.75" x14ac:dyDescent="0.25">
      <c r="B466" s="148">
        <v>430</v>
      </c>
      <c r="C466" s="144"/>
      <c r="D466" s="145"/>
      <c r="E466" s="149"/>
      <c r="G466" s="150"/>
      <c r="H466" s="150"/>
      <c r="I466" s="150"/>
      <c r="J466" s="150"/>
    </row>
    <row r="467" spans="2:10" ht="15.75" x14ac:dyDescent="0.25">
      <c r="B467" s="148">
        <v>431</v>
      </c>
      <c r="C467" s="144"/>
      <c r="D467" s="145"/>
      <c r="E467" s="149"/>
      <c r="G467" s="150"/>
      <c r="H467" s="150"/>
      <c r="I467" s="150"/>
      <c r="J467" s="150"/>
    </row>
    <row r="468" spans="2:10" ht="15.75" x14ac:dyDescent="0.25">
      <c r="B468" s="148">
        <v>432</v>
      </c>
      <c r="C468" s="144"/>
      <c r="D468" s="145"/>
      <c r="E468" s="149"/>
      <c r="G468" s="150"/>
      <c r="H468" s="150"/>
      <c r="I468" s="150"/>
      <c r="J468" s="150"/>
    </row>
    <row r="469" spans="2:10" ht="15.75" x14ac:dyDescent="0.25">
      <c r="B469" s="148">
        <v>433</v>
      </c>
      <c r="C469" s="144"/>
      <c r="D469" s="145"/>
      <c r="E469" s="149"/>
      <c r="G469" s="150"/>
      <c r="H469" s="150"/>
      <c r="I469" s="150"/>
      <c r="J469" s="150"/>
    </row>
    <row r="470" spans="2:10" ht="15.75" x14ac:dyDescent="0.25">
      <c r="B470" s="148">
        <v>434</v>
      </c>
      <c r="C470" s="144"/>
      <c r="D470" s="145"/>
      <c r="E470" s="149"/>
      <c r="G470" s="150"/>
      <c r="H470" s="150"/>
      <c r="I470" s="150"/>
      <c r="J470" s="150"/>
    </row>
    <row r="471" spans="2:10" ht="15.75" x14ac:dyDescent="0.25">
      <c r="B471" s="148">
        <v>435</v>
      </c>
      <c r="C471" s="144"/>
      <c r="D471" s="145"/>
      <c r="E471" s="149"/>
      <c r="G471" s="150"/>
      <c r="H471" s="150"/>
      <c r="I471" s="150"/>
      <c r="J471" s="150"/>
    </row>
    <row r="472" spans="2:10" ht="15.75" x14ac:dyDescent="0.25">
      <c r="B472" s="148">
        <v>436</v>
      </c>
      <c r="C472" s="144"/>
      <c r="D472" s="145"/>
      <c r="E472" s="149"/>
      <c r="G472" s="150"/>
      <c r="H472" s="150"/>
      <c r="I472" s="150"/>
      <c r="J472" s="150"/>
    </row>
    <row r="473" spans="2:10" ht="15.75" x14ac:dyDescent="0.25">
      <c r="B473" s="148">
        <v>437</v>
      </c>
      <c r="C473" s="144"/>
      <c r="D473" s="145"/>
      <c r="E473" s="149"/>
      <c r="G473" s="150"/>
      <c r="H473" s="150"/>
      <c r="I473" s="150"/>
      <c r="J473" s="150"/>
    </row>
    <row r="474" spans="2:10" ht="15.75" x14ac:dyDescent="0.25">
      <c r="B474" s="148">
        <v>438</v>
      </c>
      <c r="C474" s="144"/>
      <c r="D474" s="145"/>
      <c r="E474" s="149"/>
      <c r="G474" s="150"/>
      <c r="H474" s="150"/>
      <c r="I474" s="150"/>
      <c r="J474" s="150"/>
    </row>
    <row r="475" spans="2:10" ht="15.75" x14ac:dyDescent="0.25">
      <c r="B475" s="148">
        <v>439</v>
      </c>
      <c r="C475" s="144"/>
      <c r="D475" s="145"/>
      <c r="E475" s="149"/>
      <c r="G475" s="150"/>
      <c r="H475" s="150"/>
      <c r="I475" s="150"/>
      <c r="J475" s="150"/>
    </row>
    <row r="476" spans="2:10" ht="15.75" x14ac:dyDescent="0.25">
      <c r="B476" s="148">
        <v>440</v>
      </c>
      <c r="C476" s="144"/>
      <c r="D476" s="145"/>
      <c r="E476" s="149"/>
      <c r="G476" s="150"/>
      <c r="H476" s="150"/>
      <c r="I476" s="150"/>
      <c r="J476" s="150"/>
    </row>
    <row r="477" spans="2:10" ht="15.75" x14ac:dyDescent="0.25">
      <c r="B477" s="148">
        <v>441</v>
      </c>
      <c r="C477" s="144"/>
      <c r="D477" s="145"/>
      <c r="E477" s="149"/>
      <c r="G477" s="150"/>
      <c r="H477" s="150"/>
      <c r="I477" s="150"/>
      <c r="J477" s="150"/>
    </row>
    <row r="478" spans="2:10" ht="15.75" x14ac:dyDescent="0.25">
      <c r="B478" s="148">
        <v>442</v>
      </c>
      <c r="C478" s="144"/>
      <c r="D478" s="145"/>
      <c r="E478" s="149"/>
      <c r="G478" s="150"/>
      <c r="H478" s="150"/>
      <c r="I478" s="150"/>
      <c r="J478" s="150"/>
    </row>
    <row r="479" spans="2:10" ht="15.75" x14ac:dyDescent="0.25">
      <c r="B479" s="148">
        <v>443</v>
      </c>
      <c r="C479" s="144"/>
      <c r="D479" s="145"/>
      <c r="E479" s="149"/>
      <c r="G479" s="150"/>
      <c r="H479" s="150"/>
      <c r="I479" s="150"/>
      <c r="J479" s="150"/>
    </row>
    <row r="480" spans="2:10" ht="15.75" x14ac:dyDescent="0.25">
      <c r="B480" s="148">
        <v>444</v>
      </c>
      <c r="C480" s="144"/>
      <c r="D480" s="145"/>
      <c r="E480" s="149"/>
      <c r="G480" s="150"/>
      <c r="H480" s="150"/>
      <c r="I480" s="150"/>
      <c r="J480" s="150"/>
    </row>
    <row r="481" spans="2:10" ht="15.75" x14ac:dyDescent="0.25">
      <c r="B481" s="148">
        <v>445</v>
      </c>
      <c r="C481" s="144"/>
      <c r="D481" s="145"/>
      <c r="E481" s="149"/>
      <c r="G481" s="150"/>
      <c r="H481" s="150"/>
      <c r="I481" s="150"/>
      <c r="J481" s="150"/>
    </row>
    <row r="482" spans="2:10" ht="15.75" x14ac:dyDescent="0.25">
      <c r="B482" s="148">
        <v>446</v>
      </c>
      <c r="C482" s="144"/>
      <c r="D482" s="145"/>
      <c r="E482" s="149"/>
      <c r="G482" s="150"/>
      <c r="H482" s="150"/>
      <c r="I482" s="150"/>
      <c r="J482" s="150"/>
    </row>
    <row r="483" spans="2:10" ht="15.75" x14ac:dyDescent="0.25">
      <c r="B483" s="148">
        <v>447</v>
      </c>
      <c r="C483" s="144"/>
      <c r="D483" s="145"/>
      <c r="E483" s="149"/>
      <c r="G483" s="150"/>
      <c r="H483" s="150"/>
      <c r="I483" s="150"/>
      <c r="J483" s="150"/>
    </row>
    <row r="484" spans="2:10" ht="15.75" x14ac:dyDescent="0.25">
      <c r="B484" s="148">
        <v>448</v>
      </c>
      <c r="C484" s="144"/>
      <c r="D484" s="145"/>
      <c r="E484" s="149"/>
      <c r="G484" s="150"/>
      <c r="H484" s="150"/>
      <c r="I484" s="150"/>
      <c r="J484" s="150"/>
    </row>
    <row r="485" spans="2:10" ht="15.75" x14ac:dyDescent="0.25">
      <c r="B485" s="148">
        <v>449</v>
      </c>
      <c r="C485" s="144"/>
      <c r="D485" s="145"/>
      <c r="E485" s="149"/>
      <c r="G485" s="150"/>
      <c r="H485" s="150"/>
      <c r="I485" s="150"/>
      <c r="J485" s="150"/>
    </row>
    <row r="486" spans="2:10" ht="15.75" x14ac:dyDescent="0.25">
      <c r="B486" s="148">
        <v>450</v>
      </c>
      <c r="C486" s="144"/>
      <c r="D486" s="145"/>
      <c r="E486" s="149"/>
      <c r="G486" s="150"/>
      <c r="H486" s="150"/>
      <c r="I486" s="150"/>
      <c r="J486" s="150"/>
    </row>
    <row r="487" spans="2:10" ht="15.75" x14ac:dyDescent="0.25">
      <c r="B487" s="148">
        <v>451</v>
      </c>
      <c r="C487" s="144"/>
      <c r="D487" s="145"/>
      <c r="E487" s="149"/>
      <c r="G487" s="150"/>
      <c r="H487" s="150"/>
      <c r="I487" s="150"/>
      <c r="J487" s="150"/>
    </row>
    <row r="488" spans="2:10" ht="15.75" x14ac:dyDescent="0.25">
      <c r="B488" s="148">
        <v>452</v>
      </c>
      <c r="C488" s="144"/>
      <c r="D488" s="145"/>
      <c r="E488" s="149"/>
      <c r="G488" s="150"/>
      <c r="H488" s="150"/>
      <c r="I488" s="150"/>
      <c r="J488" s="150"/>
    </row>
    <row r="489" spans="2:10" ht="15.75" x14ac:dyDescent="0.25">
      <c r="B489" s="148">
        <v>453</v>
      </c>
      <c r="C489" s="144"/>
      <c r="D489" s="145"/>
      <c r="E489" s="149"/>
      <c r="G489" s="150"/>
      <c r="H489" s="150"/>
      <c r="I489" s="150"/>
      <c r="J489" s="150"/>
    </row>
    <row r="490" spans="2:10" ht="15.75" x14ac:dyDescent="0.25">
      <c r="B490" s="148">
        <v>454</v>
      </c>
      <c r="C490" s="144"/>
      <c r="D490" s="145"/>
      <c r="E490" s="149"/>
      <c r="G490" s="150"/>
      <c r="H490" s="150"/>
      <c r="I490" s="150"/>
      <c r="J490" s="150"/>
    </row>
    <row r="491" spans="2:10" ht="15.75" x14ac:dyDescent="0.25">
      <c r="B491" s="148">
        <v>455</v>
      </c>
      <c r="C491" s="144"/>
      <c r="D491" s="145"/>
      <c r="E491" s="149"/>
      <c r="G491" s="150"/>
      <c r="H491" s="150"/>
      <c r="I491" s="150"/>
      <c r="J491" s="150"/>
    </row>
    <row r="492" spans="2:10" ht="15.75" x14ac:dyDescent="0.25">
      <c r="B492" s="148">
        <v>456</v>
      </c>
      <c r="C492" s="144"/>
      <c r="D492" s="145"/>
      <c r="E492" s="149"/>
      <c r="G492" s="150"/>
      <c r="H492" s="150"/>
      <c r="I492" s="150"/>
      <c r="J492" s="150"/>
    </row>
    <row r="493" spans="2:10" ht="15.75" x14ac:dyDescent="0.25">
      <c r="B493" s="148">
        <v>457</v>
      </c>
      <c r="C493" s="144"/>
      <c r="D493" s="145"/>
      <c r="E493" s="149"/>
      <c r="G493" s="150"/>
      <c r="H493" s="150"/>
      <c r="I493" s="150"/>
      <c r="J493" s="150"/>
    </row>
    <row r="494" spans="2:10" ht="15.75" x14ac:dyDescent="0.25">
      <c r="B494" s="148">
        <v>458</v>
      </c>
      <c r="C494" s="144"/>
      <c r="D494" s="145"/>
      <c r="E494" s="149"/>
      <c r="G494" s="150"/>
      <c r="H494" s="150"/>
      <c r="I494" s="150"/>
      <c r="J494" s="150"/>
    </row>
    <row r="495" spans="2:10" ht="15.75" x14ac:dyDescent="0.25">
      <c r="B495" s="148">
        <v>459</v>
      </c>
      <c r="C495" s="144"/>
      <c r="D495" s="145"/>
      <c r="E495" s="149"/>
      <c r="G495" s="150"/>
      <c r="H495" s="150"/>
      <c r="I495" s="150"/>
      <c r="J495" s="150"/>
    </row>
    <row r="496" spans="2:10" ht="15.75" x14ac:dyDescent="0.25">
      <c r="B496" s="148">
        <v>460</v>
      </c>
      <c r="C496" s="144"/>
      <c r="D496" s="145"/>
      <c r="E496" s="149"/>
      <c r="G496" s="150"/>
      <c r="H496" s="150"/>
      <c r="I496" s="150"/>
      <c r="J496" s="150"/>
    </row>
    <row r="497" spans="2:10" ht="15.75" x14ac:dyDescent="0.25">
      <c r="B497" s="148">
        <v>461</v>
      </c>
      <c r="C497" s="144"/>
      <c r="D497" s="145"/>
      <c r="E497" s="149"/>
      <c r="G497" s="150"/>
      <c r="H497" s="150"/>
      <c r="I497" s="150"/>
      <c r="J497" s="150"/>
    </row>
    <row r="498" spans="2:10" ht="15.75" x14ac:dyDescent="0.25">
      <c r="B498" s="148">
        <v>462</v>
      </c>
      <c r="C498" s="144"/>
      <c r="D498" s="145"/>
      <c r="E498" s="149"/>
      <c r="G498" s="150"/>
      <c r="H498" s="150"/>
      <c r="I498" s="150"/>
      <c r="J498" s="150"/>
    </row>
    <row r="499" spans="2:10" ht="15.75" x14ac:dyDescent="0.25">
      <c r="B499" s="148">
        <v>463</v>
      </c>
      <c r="C499" s="144"/>
      <c r="D499" s="145"/>
      <c r="E499" s="149"/>
      <c r="G499" s="150"/>
      <c r="H499" s="150"/>
      <c r="I499" s="150"/>
      <c r="J499" s="150"/>
    </row>
    <row r="500" spans="2:10" ht="15.75" x14ac:dyDescent="0.25">
      <c r="B500" s="148">
        <v>464</v>
      </c>
      <c r="C500" s="144"/>
      <c r="D500" s="145"/>
      <c r="E500" s="149"/>
      <c r="G500" s="150"/>
      <c r="H500" s="150"/>
      <c r="I500" s="150"/>
      <c r="J500" s="150"/>
    </row>
    <row r="501" spans="2:10" ht="15.75" x14ac:dyDescent="0.25">
      <c r="B501" s="148">
        <v>465</v>
      </c>
      <c r="C501" s="144"/>
      <c r="D501" s="145"/>
      <c r="E501" s="149"/>
      <c r="G501" s="150"/>
      <c r="H501" s="150"/>
      <c r="I501" s="150"/>
      <c r="J501" s="150"/>
    </row>
    <row r="502" spans="2:10" ht="15.75" x14ac:dyDescent="0.25">
      <c r="B502" s="148">
        <v>466</v>
      </c>
      <c r="C502" s="144"/>
      <c r="D502" s="145"/>
      <c r="E502" s="149"/>
      <c r="G502" s="150"/>
      <c r="H502" s="150"/>
      <c r="I502" s="150"/>
      <c r="J502" s="150"/>
    </row>
    <row r="503" spans="2:10" ht="15.75" x14ac:dyDescent="0.25">
      <c r="B503" s="148">
        <v>467</v>
      </c>
      <c r="C503" s="144"/>
      <c r="D503" s="145"/>
      <c r="E503" s="149"/>
      <c r="G503" s="150"/>
      <c r="H503" s="150"/>
      <c r="I503" s="150"/>
      <c r="J503" s="150"/>
    </row>
    <row r="504" spans="2:10" ht="15.75" x14ac:dyDescent="0.25">
      <c r="B504" s="148">
        <v>468</v>
      </c>
      <c r="C504" s="144"/>
      <c r="D504" s="145"/>
      <c r="E504" s="149"/>
      <c r="G504" s="150"/>
      <c r="H504" s="150"/>
      <c r="I504" s="150"/>
      <c r="J504" s="150"/>
    </row>
    <row r="505" spans="2:10" ht="15.75" x14ac:dyDescent="0.25">
      <c r="B505" s="148">
        <v>469</v>
      </c>
      <c r="C505" s="144"/>
      <c r="D505" s="145"/>
      <c r="E505" s="149"/>
      <c r="G505" s="150"/>
      <c r="H505" s="150"/>
      <c r="I505" s="150"/>
      <c r="J505" s="150"/>
    </row>
    <row r="506" spans="2:10" ht="15.75" x14ac:dyDescent="0.25">
      <c r="B506" s="148">
        <v>470</v>
      </c>
      <c r="C506" s="144"/>
      <c r="D506" s="145"/>
      <c r="E506" s="149"/>
      <c r="G506" s="150"/>
      <c r="H506" s="150"/>
      <c r="I506" s="150"/>
      <c r="J506" s="150"/>
    </row>
    <row r="507" spans="2:10" ht="15.75" x14ac:dyDescent="0.25">
      <c r="B507" s="148">
        <v>471</v>
      </c>
      <c r="C507" s="144"/>
      <c r="D507" s="145"/>
      <c r="E507" s="149"/>
      <c r="G507" s="150"/>
      <c r="H507" s="150"/>
      <c r="I507" s="150"/>
      <c r="J507" s="150"/>
    </row>
    <row r="508" spans="2:10" ht="15.75" x14ac:dyDescent="0.25">
      <c r="B508" s="148">
        <v>472</v>
      </c>
      <c r="C508" s="144"/>
      <c r="D508" s="145"/>
      <c r="E508" s="149"/>
      <c r="G508" s="150"/>
      <c r="H508" s="150"/>
      <c r="I508" s="150"/>
      <c r="J508" s="150"/>
    </row>
    <row r="509" spans="2:10" ht="15.75" x14ac:dyDescent="0.25">
      <c r="B509" s="148">
        <v>473</v>
      </c>
      <c r="C509" s="144"/>
      <c r="D509" s="145"/>
      <c r="E509" s="149"/>
      <c r="G509" s="150"/>
      <c r="H509" s="150"/>
      <c r="I509" s="150"/>
      <c r="J509" s="150"/>
    </row>
    <row r="510" spans="2:10" ht="15.75" x14ac:dyDescent="0.25">
      <c r="B510" s="148">
        <v>474</v>
      </c>
      <c r="C510" s="144"/>
      <c r="D510" s="145"/>
      <c r="E510" s="149"/>
      <c r="G510" s="150"/>
      <c r="H510" s="150"/>
      <c r="I510" s="150"/>
      <c r="J510" s="150"/>
    </row>
    <row r="511" spans="2:10" ht="15.75" x14ac:dyDescent="0.25">
      <c r="B511" s="148">
        <v>475</v>
      </c>
      <c r="C511" s="144"/>
      <c r="D511" s="145"/>
      <c r="E511" s="149"/>
      <c r="G511" s="150"/>
      <c r="H511" s="150"/>
      <c r="I511" s="150"/>
      <c r="J511" s="150"/>
    </row>
    <row r="512" spans="2:10" ht="15.75" x14ac:dyDescent="0.25">
      <c r="B512" s="148">
        <v>476</v>
      </c>
      <c r="C512" s="144"/>
      <c r="D512" s="145"/>
      <c r="E512" s="149"/>
      <c r="G512" s="150"/>
      <c r="H512" s="150"/>
      <c r="I512" s="150"/>
      <c r="J512" s="150"/>
    </row>
    <row r="513" spans="2:10" ht="15.75" x14ac:dyDescent="0.25">
      <c r="B513" s="148">
        <v>477</v>
      </c>
      <c r="C513" s="144"/>
      <c r="D513" s="145"/>
      <c r="E513" s="149"/>
      <c r="G513" s="150"/>
      <c r="H513" s="150"/>
      <c r="I513" s="150"/>
      <c r="J513" s="150"/>
    </row>
    <row r="514" spans="2:10" ht="15.75" x14ac:dyDescent="0.25">
      <c r="B514" s="148">
        <v>478</v>
      </c>
      <c r="C514" s="144"/>
      <c r="D514" s="145"/>
      <c r="E514" s="149"/>
      <c r="G514" s="150"/>
      <c r="H514" s="150"/>
      <c r="I514" s="150"/>
      <c r="J514" s="150"/>
    </row>
    <row r="515" spans="2:10" ht="15.75" x14ac:dyDescent="0.25">
      <c r="B515" s="148">
        <v>479</v>
      </c>
      <c r="C515" s="144"/>
      <c r="D515" s="145"/>
      <c r="E515" s="149"/>
      <c r="G515" s="150"/>
      <c r="H515" s="150"/>
      <c r="I515" s="150"/>
      <c r="J515" s="150"/>
    </row>
    <row r="516" spans="2:10" ht="15.75" x14ac:dyDescent="0.25">
      <c r="B516" s="148">
        <v>480</v>
      </c>
      <c r="C516" s="144"/>
      <c r="D516" s="145"/>
      <c r="E516" s="149"/>
      <c r="G516" s="150"/>
      <c r="H516" s="150"/>
      <c r="I516" s="150"/>
      <c r="J516" s="150"/>
    </row>
    <row r="517" spans="2:10" ht="15.75" x14ac:dyDescent="0.25">
      <c r="B517" s="148">
        <v>481</v>
      </c>
      <c r="C517" s="144"/>
      <c r="D517" s="145"/>
      <c r="E517" s="149"/>
      <c r="G517" s="150"/>
      <c r="H517" s="150"/>
      <c r="I517" s="150"/>
      <c r="J517" s="150"/>
    </row>
    <row r="518" spans="2:10" ht="15.75" x14ac:dyDescent="0.25">
      <c r="B518" s="148">
        <v>482</v>
      </c>
      <c r="C518" s="144"/>
      <c r="D518" s="145"/>
      <c r="E518" s="149"/>
      <c r="G518" s="150"/>
      <c r="H518" s="150"/>
      <c r="I518" s="150"/>
      <c r="J518" s="150"/>
    </row>
    <row r="519" spans="2:10" ht="15.75" x14ac:dyDescent="0.25">
      <c r="B519" s="148">
        <v>483</v>
      </c>
      <c r="C519" s="144"/>
      <c r="D519" s="145"/>
      <c r="E519" s="149"/>
      <c r="G519" s="150"/>
      <c r="H519" s="150"/>
      <c r="I519" s="150"/>
      <c r="J519" s="150"/>
    </row>
    <row r="520" spans="2:10" ht="15.75" x14ac:dyDescent="0.25">
      <c r="B520" s="148">
        <v>484</v>
      </c>
      <c r="C520" s="144"/>
      <c r="D520" s="145"/>
      <c r="E520" s="149"/>
      <c r="G520" s="150"/>
      <c r="H520" s="150"/>
      <c r="I520" s="150"/>
      <c r="J520" s="150"/>
    </row>
    <row r="521" spans="2:10" ht="15.75" x14ac:dyDescent="0.25">
      <c r="B521" s="148">
        <v>485</v>
      </c>
      <c r="C521" s="144"/>
      <c r="D521" s="145"/>
      <c r="E521" s="149"/>
      <c r="G521" s="150"/>
      <c r="H521" s="150"/>
      <c r="I521" s="150"/>
      <c r="J521" s="150"/>
    </row>
    <row r="522" spans="2:10" ht="15.75" x14ac:dyDescent="0.25">
      <c r="B522" s="148">
        <v>486</v>
      </c>
      <c r="C522" s="144"/>
      <c r="D522" s="145"/>
      <c r="E522" s="149"/>
      <c r="G522" s="150"/>
      <c r="H522" s="150"/>
      <c r="I522" s="150"/>
      <c r="J522" s="150"/>
    </row>
    <row r="523" spans="2:10" ht="15.75" x14ac:dyDescent="0.25">
      <c r="B523" s="148">
        <v>487</v>
      </c>
      <c r="C523" s="144"/>
      <c r="D523" s="145"/>
      <c r="E523" s="149"/>
      <c r="G523" s="150"/>
      <c r="H523" s="150"/>
      <c r="I523" s="150"/>
      <c r="J523" s="150"/>
    </row>
    <row r="524" spans="2:10" ht="15.75" x14ac:dyDescent="0.25">
      <c r="B524" s="148">
        <v>488</v>
      </c>
      <c r="C524" s="144"/>
      <c r="D524" s="145"/>
      <c r="E524" s="149"/>
      <c r="G524" s="150"/>
      <c r="H524" s="150"/>
      <c r="I524" s="150"/>
      <c r="J524" s="150"/>
    </row>
    <row r="525" spans="2:10" ht="15.75" x14ac:dyDescent="0.25">
      <c r="B525" s="148">
        <v>489</v>
      </c>
      <c r="C525" s="144"/>
      <c r="D525" s="145"/>
      <c r="E525" s="149"/>
      <c r="G525" s="150"/>
      <c r="H525" s="150"/>
      <c r="I525" s="150"/>
      <c r="J525" s="150"/>
    </row>
    <row r="526" spans="2:10" ht="15.75" x14ac:dyDescent="0.25">
      <c r="B526" s="148">
        <v>490</v>
      </c>
      <c r="C526" s="144"/>
      <c r="D526" s="145"/>
      <c r="E526" s="149"/>
      <c r="G526" s="150"/>
      <c r="H526" s="150"/>
      <c r="I526" s="150"/>
      <c r="J526" s="150"/>
    </row>
    <row r="527" spans="2:10" ht="15.75" x14ac:dyDescent="0.25">
      <c r="B527" s="148">
        <v>491</v>
      </c>
      <c r="C527" s="144"/>
      <c r="D527" s="145"/>
      <c r="E527" s="149"/>
      <c r="G527" s="150"/>
      <c r="H527" s="150"/>
      <c r="I527" s="150"/>
      <c r="J527" s="150"/>
    </row>
    <row r="528" spans="2:10" ht="15.75" x14ac:dyDescent="0.25">
      <c r="B528" s="148">
        <v>492</v>
      </c>
      <c r="C528" s="144"/>
      <c r="D528" s="145"/>
      <c r="E528" s="149"/>
      <c r="G528" s="150"/>
      <c r="H528" s="150"/>
      <c r="I528" s="150"/>
      <c r="J528" s="150"/>
    </row>
    <row r="529" spans="2:10" ht="15.75" x14ac:dyDescent="0.25">
      <c r="B529" s="148">
        <v>493</v>
      </c>
      <c r="C529" s="144"/>
      <c r="D529" s="145"/>
      <c r="E529" s="149"/>
      <c r="G529" s="150"/>
      <c r="H529" s="150"/>
      <c r="I529" s="150"/>
      <c r="J529" s="150"/>
    </row>
    <row r="530" spans="2:10" ht="15.75" x14ac:dyDescent="0.25">
      <c r="B530" s="148">
        <v>494</v>
      </c>
      <c r="C530" s="144"/>
      <c r="D530" s="145"/>
      <c r="E530" s="149"/>
      <c r="G530" s="150"/>
      <c r="H530" s="150"/>
      <c r="I530" s="150"/>
      <c r="J530" s="150"/>
    </row>
    <row r="531" spans="2:10" ht="15.75" x14ac:dyDescent="0.25">
      <c r="B531" s="148">
        <v>495</v>
      </c>
      <c r="C531" s="144"/>
      <c r="D531" s="145"/>
      <c r="E531" s="149"/>
      <c r="G531" s="150"/>
      <c r="H531" s="150"/>
      <c r="I531" s="150"/>
      <c r="J531" s="150"/>
    </row>
    <row r="532" spans="2:10" ht="15.75" x14ac:dyDescent="0.25">
      <c r="B532" s="148">
        <v>496</v>
      </c>
      <c r="C532" s="144"/>
      <c r="D532" s="145"/>
      <c r="E532" s="149"/>
      <c r="G532" s="150"/>
      <c r="H532" s="150"/>
      <c r="I532" s="150"/>
      <c r="J532" s="150"/>
    </row>
    <row r="533" spans="2:10" ht="15.75" x14ac:dyDescent="0.25">
      <c r="B533" s="148">
        <v>497</v>
      </c>
      <c r="C533" s="144"/>
      <c r="D533" s="145"/>
      <c r="E533" s="149"/>
      <c r="G533" s="150"/>
      <c r="H533" s="150"/>
      <c r="I533" s="150"/>
      <c r="J533" s="150"/>
    </row>
    <row r="534" spans="2:10" ht="15.75" x14ac:dyDescent="0.25">
      <c r="B534" s="148">
        <v>498</v>
      </c>
      <c r="C534" s="144"/>
      <c r="D534" s="145"/>
      <c r="E534" s="149"/>
      <c r="G534" s="150"/>
      <c r="H534" s="150"/>
      <c r="I534" s="150"/>
      <c r="J534" s="150"/>
    </row>
    <row r="535" spans="2:10" ht="15.75" x14ac:dyDescent="0.25">
      <c r="B535" s="148">
        <v>499</v>
      </c>
      <c r="C535" s="144"/>
      <c r="D535" s="145"/>
      <c r="E535" s="149"/>
      <c r="G535" s="150"/>
      <c r="H535" s="150"/>
      <c r="I535" s="150"/>
      <c r="J535" s="150"/>
    </row>
    <row r="536" spans="2:10" ht="15.75" x14ac:dyDescent="0.25">
      <c r="B536" s="148">
        <v>500</v>
      </c>
      <c r="C536" s="144"/>
      <c r="D536" s="145"/>
      <c r="E536" s="149"/>
      <c r="G536" s="150"/>
      <c r="H536" s="150"/>
      <c r="I536" s="150"/>
      <c r="J536" s="150"/>
    </row>
    <row r="537" spans="2:10" ht="15.75" x14ac:dyDescent="0.25">
      <c r="B537" s="148">
        <v>501</v>
      </c>
      <c r="C537" s="144"/>
      <c r="D537" s="145"/>
      <c r="E537" s="149"/>
      <c r="G537" s="150"/>
      <c r="H537" s="150"/>
      <c r="I537" s="150"/>
      <c r="J537" s="150"/>
    </row>
    <row r="538" spans="2:10" ht="15.75" x14ac:dyDescent="0.25">
      <c r="B538" s="148">
        <v>502</v>
      </c>
      <c r="C538" s="144"/>
      <c r="D538" s="145"/>
      <c r="E538" s="149"/>
      <c r="G538" s="150"/>
      <c r="H538" s="150"/>
      <c r="I538" s="150"/>
      <c r="J538" s="150"/>
    </row>
    <row r="539" spans="2:10" ht="15.75" x14ac:dyDescent="0.25">
      <c r="B539" s="148">
        <v>503</v>
      </c>
      <c r="C539" s="144"/>
      <c r="D539" s="145"/>
      <c r="E539" s="149"/>
      <c r="G539" s="150"/>
      <c r="H539" s="150"/>
      <c r="I539" s="150"/>
      <c r="J539" s="150"/>
    </row>
    <row r="540" spans="2:10" ht="15.75" x14ac:dyDescent="0.25">
      <c r="B540" s="148">
        <v>504</v>
      </c>
      <c r="C540" s="144"/>
      <c r="D540" s="145"/>
      <c r="E540" s="149"/>
      <c r="G540" s="150"/>
      <c r="H540" s="150"/>
      <c r="I540" s="150"/>
      <c r="J540" s="150"/>
    </row>
    <row r="541" spans="2:10" ht="15.75" x14ac:dyDescent="0.25">
      <c r="B541" s="148">
        <v>505</v>
      </c>
      <c r="C541" s="144"/>
      <c r="D541" s="145"/>
      <c r="E541" s="149"/>
      <c r="G541" s="150"/>
      <c r="H541" s="150"/>
      <c r="I541" s="150"/>
      <c r="J541" s="150"/>
    </row>
    <row r="542" spans="2:10" ht="15.75" x14ac:dyDescent="0.25">
      <c r="B542" s="148">
        <v>506</v>
      </c>
      <c r="C542" s="144"/>
      <c r="D542" s="145"/>
      <c r="E542" s="149"/>
      <c r="G542" s="150"/>
      <c r="H542" s="150"/>
      <c r="I542" s="150"/>
      <c r="J542" s="150"/>
    </row>
    <row r="543" spans="2:10" ht="15.75" x14ac:dyDescent="0.25">
      <c r="B543" s="148">
        <v>507</v>
      </c>
      <c r="C543" s="144"/>
      <c r="D543" s="145"/>
      <c r="E543" s="149"/>
      <c r="G543" s="150"/>
      <c r="H543" s="150"/>
      <c r="I543" s="150"/>
      <c r="J543" s="150"/>
    </row>
    <row r="544" spans="2:10" ht="15.75" x14ac:dyDescent="0.25">
      <c r="B544" s="148">
        <v>508</v>
      </c>
      <c r="C544" s="144"/>
      <c r="D544" s="145"/>
      <c r="E544" s="149"/>
      <c r="G544" s="150"/>
      <c r="H544" s="150"/>
      <c r="I544" s="150"/>
      <c r="J544" s="150"/>
    </row>
    <row r="545" spans="2:10" ht="15.75" x14ac:dyDescent="0.25">
      <c r="B545" s="148">
        <v>509</v>
      </c>
      <c r="C545" s="144"/>
      <c r="D545" s="145"/>
      <c r="E545" s="149"/>
      <c r="G545" s="150"/>
      <c r="H545" s="150"/>
      <c r="I545" s="150"/>
      <c r="J545" s="150"/>
    </row>
    <row r="546" spans="2:10" ht="15.75" x14ac:dyDescent="0.25">
      <c r="B546" s="148">
        <v>510</v>
      </c>
      <c r="C546" s="144"/>
      <c r="D546" s="145"/>
      <c r="E546" s="149"/>
      <c r="G546" s="150"/>
      <c r="H546" s="150"/>
      <c r="I546" s="150"/>
      <c r="J546" s="150"/>
    </row>
    <row r="547" spans="2:10" ht="15.75" x14ac:dyDescent="0.25">
      <c r="B547" s="148">
        <v>511</v>
      </c>
      <c r="C547" s="144"/>
      <c r="D547" s="145"/>
      <c r="E547" s="149"/>
      <c r="G547" s="150"/>
      <c r="H547" s="150"/>
      <c r="I547" s="150"/>
      <c r="J547" s="150"/>
    </row>
    <row r="548" spans="2:10" ht="15.75" x14ac:dyDescent="0.25">
      <c r="B548" s="148">
        <v>512</v>
      </c>
      <c r="C548" s="144"/>
      <c r="D548" s="145"/>
      <c r="E548" s="149"/>
      <c r="G548" s="150"/>
      <c r="H548" s="150"/>
      <c r="I548" s="150"/>
      <c r="J548" s="150"/>
    </row>
    <row r="549" spans="2:10" ht="15.75" x14ac:dyDescent="0.25">
      <c r="B549" s="148">
        <v>513</v>
      </c>
      <c r="C549" s="144"/>
      <c r="D549" s="145"/>
      <c r="E549" s="149"/>
      <c r="G549" s="150"/>
      <c r="H549" s="150"/>
      <c r="I549" s="150"/>
      <c r="J549" s="150"/>
    </row>
    <row r="550" spans="2:10" ht="15.75" x14ac:dyDescent="0.25">
      <c r="B550" s="148">
        <v>514</v>
      </c>
      <c r="C550" s="144"/>
      <c r="D550" s="145"/>
      <c r="E550" s="149"/>
      <c r="G550" s="150"/>
      <c r="H550" s="150"/>
      <c r="I550" s="150"/>
      <c r="J550" s="150"/>
    </row>
    <row r="551" spans="2:10" ht="15.75" x14ac:dyDescent="0.25">
      <c r="B551" s="148">
        <v>515</v>
      </c>
      <c r="C551" s="144"/>
      <c r="D551" s="145"/>
      <c r="E551" s="149"/>
      <c r="G551" s="150"/>
      <c r="H551" s="150"/>
      <c r="I551" s="150"/>
      <c r="J551" s="150"/>
    </row>
    <row r="552" spans="2:10" ht="15.75" x14ac:dyDescent="0.25">
      <c r="B552" s="148">
        <v>516</v>
      </c>
      <c r="C552" s="144"/>
      <c r="D552" s="145"/>
      <c r="E552" s="149"/>
      <c r="G552" s="150"/>
      <c r="H552" s="150"/>
      <c r="I552" s="150"/>
      <c r="J552" s="150"/>
    </row>
    <row r="553" spans="2:10" ht="15.75" x14ac:dyDescent="0.25">
      <c r="B553" s="148">
        <v>517</v>
      </c>
      <c r="C553" s="144"/>
      <c r="D553" s="145"/>
      <c r="E553" s="149"/>
      <c r="G553" s="150"/>
      <c r="H553" s="150"/>
      <c r="I553" s="150"/>
      <c r="J553" s="150"/>
    </row>
    <row r="554" spans="2:10" ht="15.75" x14ac:dyDescent="0.25">
      <c r="B554" s="148">
        <v>518</v>
      </c>
      <c r="C554" s="144"/>
      <c r="D554" s="145"/>
      <c r="E554" s="149"/>
      <c r="G554" s="150"/>
      <c r="H554" s="150"/>
      <c r="I554" s="150"/>
      <c r="J554" s="150"/>
    </row>
    <row r="555" spans="2:10" ht="15.75" x14ac:dyDescent="0.25">
      <c r="B555" s="148">
        <v>519</v>
      </c>
      <c r="C555" s="144"/>
      <c r="D555" s="145"/>
      <c r="E555" s="149"/>
      <c r="G555" s="150"/>
      <c r="H555" s="150"/>
      <c r="I555" s="150"/>
      <c r="J555" s="150"/>
    </row>
    <row r="556" spans="2:10" ht="15.75" x14ac:dyDescent="0.25">
      <c r="B556" s="148">
        <v>520</v>
      </c>
      <c r="C556" s="144"/>
      <c r="D556" s="145"/>
      <c r="E556" s="149"/>
      <c r="G556" s="150"/>
      <c r="H556" s="150"/>
      <c r="I556" s="150"/>
      <c r="J556" s="150"/>
    </row>
    <row r="557" spans="2:10" ht="15.75" x14ac:dyDescent="0.25">
      <c r="B557" s="148">
        <v>521</v>
      </c>
      <c r="C557" s="144"/>
      <c r="D557" s="145"/>
      <c r="E557" s="149"/>
      <c r="G557" s="150"/>
      <c r="H557" s="150"/>
      <c r="I557" s="150"/>
      <c r="J557" s="150"/>
    </row>
    <row r="558" spans="2:10" ht="15.75" x14ac:dyDescent="0.25">
      <c r="B558" s="148">
        <v>522</v>
      </c>
      <c r="C558" s="144"/>
      <c r="D558" s="145"/>
      <c r="E558" s="149"/>
      <c r="G558" s="150"/>
      <c r="H558" s="150"/>
      <c r="I558" s="150"/>
      <c r="J558" s="150"/>
    </row>
    <row r="559" spans="2:10" ht="15.75" x14ac:dyDescent="0.25">
      <c r="B559" s="148">
        <v>523</v>
      </c>
      <c r="C559" s="144"/>
      <c r="D559" s="145"/>
      <c r="E559" s="149"/>
      <c r="G559" s="150"/>
      <c r="H559" s="150"/>
      <c r="I559" s="150"/>
      <c r="J559" s="150"/>
    </row>
    <row r="560" spans="2:10" ht="15.75" x14ac:dyDescent="0.25">
      <c r="B560" s="148">
        <v>524</v>
      </c>
      <c r="C560" s="144"/>
      <c r="D560" s="145"/>
      <c r="E560" s="149"/>
      <c r="G560" s="150"/>
      <c r="H560" s="150"/>
      <c r="I560" s="150"/>
      <c r="J560" s="150"/>
    </row>
    <row r="561" spans="2:10" ht="15.75" x14ac:dyDescent="0.25">
      <c r="B561" s="148">
        <v>525</v>
      </c>
      <c r="C561" s="144"/>
      <c r="D561" s="145"/>
      <c r="E561" s="149"/>
      <c r="G561" s="150"/>
      <c r="H561" s="150"/>
      <c r="I561" s="150"/>
      <c r="J561" s="150"/>
    </row>
    <row r="562" spans="2:10" ht="15.75" x14ac:dyDescent="0.25">
      <c r="B562" s="148">
        <v>526</v>
      </c>
      <c r="C562" s="144"/>
      <c r="D562" s="145"/>
      <c r="E562" s="149"/>
      <c r="G562" s="150"/>
      <c r="H562" s="150"/>
      <c r="I562" s="150"/>
      <c r="J562" s="150"/>
    </row>
    <row r="563" spans="2:10" ht="15.75" x14ac:dyDescent="0.25">
      <c r="B563" s="148">
        <v>527</v>
      </c>
      <c r="C563" s="144"/>
      <c r="D563" s="145"/>
      <c r="E563" s="149"/>
      <c r="G563" s="150"/>
      <c r="H563" s="150"/>
      <c r="I563" s="150"/>
      <c r="J563" s="150"/>
    </row>
    <row r="564" spans="2:10" ht="15.75" x14ac:dyDescent="0.25">
      <c r="B564" s="148">
        <v>528</v>
      </c>
      <c r="C564" s="144"/>
      <c r="D564" s="145"/>
      <c r="E564" s="149"/>
      <c r="G564" s="150"/>
      <c r="H564" s="150"/>
      <c r="I564" s="150"/>
      <c r="J564" s="150"/>
    </row>
    <row r="565" spans="2:10" ht="15.75" x14ac:dyDescent="0.25">
      <c r="B565" s="148">
        <v>529</v>
      </c>
      <c r="C565" s="144"/>
      <c r="D565" s="145"/>
      <c r="E565" s="149"/>
      <c r="G565" s="150"/>
      <c r="H565" s="150"/>
      <c r="I565" s="150"/>
      <c r="J565" s="150"/>
    </row>
    <row r="566" spans="2:10" ht="15.75" x14ac:dyDescent="0.25">
      <c r="B566" s="148">
        <v>530</v>
      </c>
      <c r="C566" s="144"/>
      <c r="D566" s="145"/>
      <c r="E566" s="149"/>
      <c r="G566" s="150"/>
      <c r="H566" s="150"/>
      <c r="I566" s="150"/>
      <c r="J566" s="150"/>
    </row>
    <row r="567" spans="2:10" ht="15.75" x14ac:dyDescent="0.25">
      <c r="B567" s="148">
        <v>531</v>
      </c>
      <c r="C567" s="144"/>
      <c r="D567" s="145"/>
      <c r="E567" s="149"/>
      <c r="G567" s="150"/>
      <c r="H567" s="150"/>
      <c r="I567" s="150"/>
      <c r="J567" s="150"/>
    </row>
    <row r="568" spans="2:10" ht="15.75" x14ac:dyDescent="0.25">
      <c r="B568" s="148">
        <v>532</v>
      </c>
      <c r="C568" s="144"/>
      <c r="D568" s="145"/>
      <c r="E568" s="149"/>
      <c r="G568" s="150"/>
      <c r="H568" s="150"/>
      <c r="I568" s="150"/>
      <c r="J568" s="150"/>
    </row>
    <row r="569" spans="2:10" ht="15.75" x14ac:dyDescent="0.25">
      <c r="B569" s="148">
        <v>533</v>
      </c>
      <c r="C569" s="144"/>
      <c r="D569" s="145"/>
      <c r="E569" s="149"/>
      <c r="G569" s="150"/>
      <c r="H569" s="150"/>
      <c r="I569" s="150"/>
      <c r="J569" s="150"/>
    </row>
    <row r="570" spans="2:10" ht="15.75" x14ac:dyDescent="0.25">
      <c r="B570" s="148">
        <v>534</v>
      </c>
      <c r="C570" s="144"/>
      <c r="D570" s="145"/>
      <c r="E570" s="149"/>
      <c r="G570" s="150"/>
      <c r="H570" s="150"/>
      <c r="I570" s="150"/>
      <c r="J570" s="150"/>
    </row>
    <row r="571" spans="2:10" ht="15.75" x14ac:dyDescent="0.25">
      <c r="B571" s="148">
        <v>535</v>
      </c>
      <c r="C571" s="144"/>
      <c r="D571" s="145"/>
      <c r="E571" s="149"/>
      <c r="G571" s="150"/>
      <c r="H571" s="150"/>
      <c r="I571" s="150"/>
      <c r="J571" s="150"/>
    </row>
    <row r="572" spans="2:10" ht="15.75" x14ac:dyDescent="0.25">
      <c r="B572" s="148">
        <v>536</v>
      </c>
      <c r="C572" s="144"/>
      <c r="D572" s="145"/>
      <c r="E572" s="149"/>
      <c r="G572" s="150"/>
      <c r="H572" s="150"/>
      <c r="I572" s="150"/>
      <c r="J572" s="150"/>
    </row>
    <row r="573" spans="2:10" ht="15.75" x14ac:dyDescent="0.25">
      <c r="B573" s="148">
        <v>537</v>
      </c>
      <c r="C573" s="144"/>
      <c r="D573" s="145"/>
      <c r="E573" s="149"/>
      <c r="G573" s="150"/>
      <c r="H573" s="150"/>
      <c r="I573" s="150"/>
      <c r="J573" s="150"/>
    </row>
    <row r="574" spans="2:10" ht="15.75" x14ac:dyDescent="0.25">
      <c r="B574" s="148">
        <v>538</v>
      </c>
      <c r="C574" s="144"/>
      <c r="D574" s="145"/>
      <c r="E574" s="149"/>
      <c r="G574" s="150"/>
      <c r="H574" s="150"/>
      <c r="I574" s="150"/>
      <c r="J574" s="150"/>
    </row>
    <row r="575" spans="2:10" ht="15.75" x14ac:dyDescent="0.25">
      <c r="B575" s="148">
        <v>539</v>
      </c>
      <c r="C575" s="144"/>
      <c r="D575" s="145"/>
      <c r="E575" s="149"/>
      <c r="G575" s="150"/>
      <c r="H575" s="150"/>
      <c r="I575" s="150"/>
      <c r="J575" s="150"/>
    </row>
    <row r="576" spans="2:10" ht="15.75" x14ac:dyDescent="0.25">
      <c r="B576" s="148">
        <v>540</v>
      </c>
      <c r="C576" s="144"/>
      <c r="D576" s="145"/>
      <c r="E576" s="149"/>
      <c r="G576" s="150"/>
      <c r="H576" s="150"/>
      <c r="I576" s="150"/>
      <c r="J576" s="150"/>
    </row>
    <row r="577" spans="2:10" ht="15.75" x14ac:dyDescent="0.25">
      <c r="B577" s="148">
        <v>541</v>
      </c>
      <c r="C577" s="144"/>
      <c r="D577" s="145"/>
      <c r="E577" s="149"/>
      <c r="G577" s="150"/>
      <c r="H577" s="150"/>
      <c r="I577" s="150"/>
      <c r="J577" s="150"/>
    </row>
    <row r="578" spans="2:10" ht="15.75" x14ac:dyDescent="0.25">
      <c r="B578" s="148">
        <v>542</v>
      </c>
      <c r="C578" s="144"/>
      <c r="D578" s="145"/>
      <c r="E578" s="149"/>
      <c r="G578" s="150"/>
      <c r="H578" s="150"/>
      <c r="I578" s="150"/>
      <c r="J578" s="150"/>
    </row>
    <row r="579" spans="2:10" ht="15.75" x14ac:dyDescent="0.25">
      <c r="B579" s="148">
        <v>543</v>
      </c>
      <c r="C579" s="144"/>
      <c r="D579" s="145"/>
      <c r="E579" s="149"/>
      <c r="G579" s="150"/>
      <c r="H579" s="150"/>
      <c r="I579" s="150"/>
      <c r="J579" s="150"/>
    </row>
    <row r="580" spans="2:10" ht="15.75" x14ac:dyDescent="0.25">
      <c r="B580" s="148">
        <v>544</v>
      </c>
      <c r="C580" s="144"/>
      <c r="D580" s="145"/>
      <c r="E580" s="149"/>
      <c r="G580" s="150"/>
      <c r="H580" s="150"/>
      <c r="I580" s="150"/>
      <c r="J580" s="150"/>
    </row>
    <row r="581" spans="2:10" ht="15.75" x14ac:dyDescent="0.25">
      <c r="B581" s="148">
        <v>545</v>
      </c>
      <c r="C581" s="144"/>
      <c r="D581" s="145"/>
      <c r="E581" s="149"/>
      <c r="G581" s="150"/>
      <c r="H581" s="150"/>
      <c r="I581" s="150"/>
      <c r="J581" s="150"/>
    </row>
    <row r="582" spans="2:10" ht="15.75" x14ac:dyDescent="0.25">
      <c r="B582" s="148">
        <v>546</v>
      </c>
      <c r="C582" s="144"/>
      <c r="D582" s="145"/>
      <c r="E582" s="149"/>
      <c r="G582" s="150"/>
      <c r="H582" s="150"/>
      <c r="I582" s="150"/>
      <c r="J582" s="150"/>
    </row>
    <row r="583" spans="2:10" ht="15.75" x14ac:dyDescent="0.25">
      <c r="B583" s="148">
        <v>547</v>
      </c>
      <c r="C583" s="144"/>
      <c r="D583" s="145"/>
      <c r="E583" s="149"/>
      <c r="G583" s="150"/>
      <c r="H583" s="150"/>
      <c r="I583" s="150"/>
      <c r="J583" s="150"/>
    </row>
    <row r="584" spans="2:10" ht="15.75" x14ac:dyDescent="0.25">
      <c r="B584" s="148">
        <v>548</v>
      </c>
      <c r="C584" s="144"/>
      <c r="D584" s="145"/>
      <c r="E584" s="149"/>
      <c r="G584" s="150"/>
      <c r="H584" s="150"/>
      <c r="I584" s="150"/>
      <c r="J584" s="150"/>
    </row>
    <row r="585" spans="2:10" ht="15.75" x14ac:dyDescent="0.25">
      <c r="B585" s="148">
        <v>549</v>
      </c>
      <c r="C585" s="144"/>
      <c r="D585" s="145"/>
      <c r="E585" s="149"/>
      <c r="G585" s="150"/>
      <c r="H585" s="150"/>
      <c r="I585" s="150"/>
      <c r="J585" s="150"/>
    </row>
    <row r="586" spans="2:10" ht="15.75" x14ac:dyDescent="0.25">
      <c r="B586" s="148">
        <v>550</v>
      </c>
      <c r="C586" s="144"/>
      <c r="D586" s="145"/>
      <c r="E586" s="149"/>
      <c r="G586" s="150"/>
      <c r="H586" s="150"/>
      <c r="I586" s="150"/>
      <c r="J586" s="150"/>
    </row>
    <row r="587" spans="2:10" ht="15.75" x14ac:dyDescent="0.25">
      <c r="B587" s="148">
        <v>551</v>
      </c>
      <c r="C587" s="144"/>
      <c r="D587" s="145"/>
      <c r="E587" s="149"/>
      <c r="G587" s="150"/>
      <c r="H587" s="150"/>
      <c r="I587" s="150"/>
      <c r="J587" s="150"/>
    </row>
    <row r="588" spans="2:10" ht="15.75" x14ac:dyDescent="0.25">
      <c r="B588" s="148">
        <v>552</v>
      </c>
      <c r="C588" s="144"/>
      <c r="D588" s="145"/>
      <c r="E588" s="149"/>
      <c r="G588" s="150"/>
      <c r="H588" s="150"/>
      <c r="I588" s="150"/>
      <c r="J588" s="150"/>
    </row>
    <row r="589" spans="2:10" ht="15.75" x14ac:dyDescent="0.25">
      <c r="B589" s="148">
        <v>553</v>
      </c>
      <c r="C589" s="144"/>
      <c r="D589" s="145"/>
      <c r="E589" s="149"/>
      <c r="G589" s="150"/>
      <c r="H589" s="150"/>
      <c r="I589" s="150"/>
      <c r="J589" s="150"/>
    </row>
    <row r="590" spans="2:10" ht="15.75" x14ac:dyDescent="0.25">
      <c r="B590" s="148">
        <v>554</v>
      </c>
      <c r="C590" s="144"/>
      <c r="D590" s="145"/>
      <c r="E590" s="149"/>
      <c r="G590" s="150"/>
      <c r="H590" s="150"/>
      <c r="I590" s="150"/>
      <c r="J590" s="150"/>
    </row>
    <row r="591" spans="2:10" ht="15.75" x14ac:dyDescent="0.25">
      <c r="B591" s="148">
        <v>555</v>
      </c>
      <c r="C591" s="144"/>
      <c r="D591" s="145"/>
      <c r="E591" s="149"/>
      <c r="G591" s="150"/>
      <c r="H591" s="150"/>
      <c r="I591" s="150"/>
      <c r="J591" s="150"/>
    </row>
    <row r="592" spans="2:10" ht="15.75" x14ac:dyDescent="0.25">
      <c r="B592" s="148">
        <v>556</v>
      </c>
      <c r="C592" s="144"/>
      <c r="D592" s="145"/>
      <c r="E592" s="149"/>
      <c r="G592" s="150"/>
      <c r="H592" s="150"/>
      <c r="I592" s="150"/>
      <c r="J592" s="150"/>
    </row>
    <row r="593" spans="2:10" ht="15.75" x14ac:dyDescent="0.25">
      <c r="B593" s="148">
        <v>557</v>
      </c>
      <c r="C593" s="144"/>
      <c r="D593" s="145"/>
      <c r="E593" s="149"/>
      <c r="G593" s="150"/>
      <c r="H593" s="150"/>
      <c r="I593" s="150"/>
      <c r="J593" s="150"/>
    </row>
    <row r="594" spans="2:10" ht="15.75" x14ac:dyDescent="0.25">
      <c r="B594" s="148">
        <v>558</v>
      </c>
      <c r="C594" s="144"/>
      <c r="D594" s="145"/>
      <c r="E594" s="149"/>
      <c r="G594" s="150"/>
      <c r="H594" s="150"/>
      <c r="I594" s="150"/>
      <c r="J594" s="150"/>
    </row>
    <row r="595" spans="2:10" ht="15.75" x14ac:dyDescent="0.25">
      <c r="B595" s="148">
        <v>559</v>
      </c>
      <c r="C595" s="144"/>
      <c r="D595" s="145"/>
      <c r="E595" s="149"/>
      <c r="G595" s="150"/>
      <c r="H595" s="150"/>
      <c r="I595" s="150"/>
      <c r="J595" s="150"/>
    </row>
    <row r="596" spans="2:10" ht="15.75" x14ac:dyDescent="0.25">
      <c r="B596" s="148">
        <v>560</v>
      </c>
      <c r="C596" s="144"/>
      <c r="D596" s="145"/>
      <c r="E596" s="149"/>
      <c r="G596" s="150"/>
      <c r="H596" s="150"/>
      <c r="I596" s="150"/>
      <c r="J596" s="150"/>
    </row>
    <row r="597" spans="2:10" ht="15.75" x14ac:dyDescent="0.25">
      <c r="B597" s="148">
        <v>561</v>
      </c>
      <c r="C597" s="144"/>
      <c r="D597" s="145"/>
      <c r="E597" s="149"/>
      <c r="G597" s="150"/>
      <c r="H597" s="150"/>
      <c r="I597" s="150"/>
      <c r="J597" s="150"/>
    </row>
    <row r="598" spans="2:10" ht="15.75" x14ac:dyDescent="0.25">
      <c r="B598" s="148">
        <v>562</v>
      </c>
      <c r="C598" s="144"/>
      <c r="D598" s="145"/>
      <c r="E598" s="149"/>
      <c r="G598" s="150"/>
      <c r="H598" s="150"/>
      <c r="I598" s="150"/>
      <c r="J598" s="150"/>
    </row>
    <row r="599" spans="2:10" ht="15.75" x14ac:dyDescent="0.25">
      <c r="B599" s="148">
        <v>563</v>
      </c>
      <c r="C599" s="144"/>
      <c r="D599" s="145"/>
      <c r="E599" s="149"/>
      <c r="G599" s="150"/>
      <c r="H599" s="150"/>
      <c r="I599" s="150"/>
      <c r="J599" s="150"/>
    </row>
    <row r="600" spans="2:10" ht="15.75" x14ac:dyDescent="0.25">
      <c r="B600" s="148">
        <v>564</v>
      </c>
      <c r="C600" s="144"/>
      <c r="D600" s="145"/>
      <c r="E600" s="149"/>
      <c r="G600" s="150"/>
      <c r="H600" s="150"/>
      <c r="I600" s="150"/>
      <c r="J600" s="150"/>
    </row>
    <row r="601" spans="2:10" ht="15.75" x14ac:dyDescent="0.25">
      <c r="B601" s="148">
        <v>565</v>
      </c>
      <c r="C601" s="144"/>
      <c r="D601" s="145"/>
      <c r="E601" s="149"/>
      <c r="G601" s="150"/>
      <c r="H601" s="150"/>
      <c r="I601" s="150"/>
      <c r="J601" s="150"/>
    </row>
    <row r="602" spans="2:10" ht="15.75" x14ac:dyDescent="0.25">
      <c r="B602" s="148">
        <v>566</v>
      </c>
      <c r="C602" s="144"/>
      <c r="D602" s="145"/>
      <c r="E602" s="149"/>
      <c r="G602" s="150"/>
      <c r="H602" s="150"/>
      <c r="I602" s="150"/>
      <c r="J602" s="150"/>
    </row>
    <row r="603" spans="2:10" ht="15.75" x14ac:dyDescent="0.25">
      <c r="B603" s="148">
        <v>567</v>
      </c>
      <c r="C603" s="144"/>
      <c r="D603" s="145"/>
      <c r="E603" s="149"/>
      <c r="G603" s="150"/>
      <c r="H603" s="150"/>
      <c r="I603" s="150"/>
      <c r="J603" s="150"/>
    </row>
    <row r="604" spans="2:10" ht="15.75" x14ac:dyDescent="0.25">
      <c r="B604" s="148">
        <v>568</v>
      </c>
      <c r="C604" s="144"/>
      <c r="D604" s="145"/>
      <c r="E604" s="149"/>
      <c r="G604" s="150"/>
      <c r="H604" s="150"/>
      <c r="I604" s="150"/>
      <c r="J604" s="150"/>
    </row>
    <row r="605" spans="2:10" ht="15.75" x14ac:dyDescent="0.25">
      <c r="B605" s="148">
        <v>569</v>
      </c>
      <c r="C605" s="144"/>
      <c r="D605" s="145"/>
      <c r="E605" s="149"/>
      <c r="G605" s="150"/>
      <c r="H605" s="150"/>
      <c r="I605" s="150"/>
      <c r="J605" s="150"/>
    </row>
    <row r="606" spans="2:10" ht="15.75" x14ac:dyDescent="0.25">
      <c r="B606" s="148">
        <v>570</v>
      </c>
      <c r="C606" s="144"/>
      <c r="D606" s="145"/>
      <c r="E606" s="149"/>
      <c r="G606" s="150"/>
      <c r="H606" s="150"/>
      <c r="I606" s="150"/>
      <c r="J606" s="150"/>
    </row>
    <row r="607" spans="2:10" ht="15.75" x14ac:dyDescent="0.25">
      <c r="B607" s="148">
        <v>571</v>
      </c>
      <c r="C607" s="144"/>
      <c r="D607" s="145"/>
      <c r="E607" s="149"/>
      <c r="G607" s="150"/>
      <c r="H607" s="150"/>
      <c r="I607" s="150"/>
      <c r="J607" s="150"/>
    </row>
    <row r="608" spans="2:10" ht="15.75" x14ac:dyDescent="0.25">
      <c r="B608" s="148">
        <v>572</v>
      </c>
      <c r="C608" s="144"/>
      <c r="D608" s="145"/>
      <c r="E608" s="149"/>
      <c r="G608" s="150"/>
      <c r="H608" s="150"/>
      <c r="I608" s="150"/>
      <c r="J608" s="150"/>
    </row>
    <row r="609" spans="2:10" ht="15.75" x14ac:dyDescent="0.25">
      <c r="B609" s="148">
        <v>573</v>
      </c>
      <c r="C609" s="144"/>
      <c r="D609" s="145"/>
      <c r="E609" s="149"/>
      <c r="G609" s="150"/>
      <c r="H609" s="150"/>
      <c r="I609" s="150"/>
      <c r="J609" s="150"/>
    </row>
    <row r="610" spans="2:10" ht="15.75" x14ac:dyDescent="0.25">
      <c r="B610" s="148">
        <v>574</v>
      </c>
      <c r="C610" s="144"/>
      <c r="D610" s="145"/>
      <c r="E610" s="149"/>
      <c r="G610" s="150"/>
      <c r="H610" s="150"/>
      <c r="I610" s="150"/>
      <c r="J610" s="150"/>
    </row>
    <row r="611" spans="2:10" ht="15.75" x14ac:dyDescent="0.25">
      <c r="B611" s="148">
        <v>575</v>
      </c>
      <c r="C611" s="144"/>
      <c r="D611" s="145"/>
      <c r="E611" s="149"/>
      <c r="G611" s="150"/>
      <c r="H611" s="150"/>
      <c r="I611" s="150"/>
      <c r="J611" s="150"/>
    </row>
    <row r="612" spans="2:10" ht="15.75" x14ac:dyDescent="0.25">
      <c r="B612" s="148">
        <v>576</v>
      </c>
      <c r="C612" s="144"/>
      <c r="D612" s="145"/>
      <c r="E612" s="149"/>
      <c r="G612" s="150"/>
      <c r="H612" s="150"/>
      <c r="I612" s="150"/>
      <c r="J612" s="150"/>
    </row>
    <row r="613" spans="2:10" ht="15.75" x14ac:dyDescent="0.25">
      <c r="B613" s="148">
        <v>577</v>
      </c>
      <c r="C613" s="144"/>
      <c r="D613" s="145"/>
      <c r="E613" s="149"/>
      <c r="G613" s="150"/>
      <c r="H613" s="150"/>
      <c r="I613" s="150"/>
      <c r="J613" s="150"/>
    </row>
    <row r="614" spans="2:10" ht="15.75" x14ac:dyDescent="0.25">
      <c r="B614" s="148">
        <v>578</v>
      </c>
      <c r="C614" s="144"/>
      <c r="D614" s="145"/>
      <c r="E614" s="149"/>
      <c r="G614" s="150"/>
      <c r="H614" s="150"/>
      <c r="I614" s="150"/>
      <c r="J614" s="150"/>
    </row>
    <row r="615" spans="2:10" ht="15.75" x14ac:dyDescent="0.25">
      <c r="B615" s="148">
        <v>579</v>
      </c>
      <c r="C615" s="144"/>
      <c r="D615" s="145"/>
      <c r="E615" s="149"/>
      <c r="G615" s="150"/>
      <c r="H615" s="150"/>
      <c r="I615" s="150"/>
      <c r="J615" s="150"/>
    </row>
    <row r="616" spans="2:10" ht="15.75" x14ac:dyDescent="0.25">
      <c r="B616" s="148">
        <v>580</v>
      </c>
      <c r="C616" s="144"/>
      <c r="D616" s="145"/>
      <c r="E616" s="149"/>
      <c r="G616" s="150"/>
      <c r="H616" s="150"/>
      <c r="I616" s="150"/>
      <c r="J616" s="150"/>
    </row>
    <row r="617" spans="2:10" ht="15.75" x14ac:dyDescent="0.25">
      <c r="B617" s="148">
        <v>581</v>
      </c>
      <c r="C617" s="144"/>
      <c r="D617" s="145"/>
      <c r="E617" s="149"/>
      <c r="G617" s="150"/>
      <c r="H617" s="150"/>
      <c r="I617" s="150"/>
      <c r="J617" s="150"/>
    </row>
    <row r="618" spans="2:10" ht="15.75" x14ac:dyDescent="0.25">
      <c r="B618" s="148">
        <v>582</v>
      </c>
      <c r="C618" s="144"/>
      <c r="D618" s="145"/>
      <c r="E618" s="149"/>
      <c r="G618" s="150"/>
      <c r="H618" s="150"/>
      <c r="I618" s="150"/>
      <c r="J618" s="150"/>
    </row>
    <row r="619" spans="2:10" ht="15.75" x14ac:dyDescent="0.25">
      <c r="B619" s="148">
        <v>583</v>
      </c>
      <c r="C619" s="144"/>
      <c r="D619" s="145"/>
      <c r="E619" s="149"/>
      <c r="G619" s="150"/>
      <c r="H619" s="150"/>
      <c r="I619" s="150"/>
      <c r="J619" s="150"/>
    </row>
    <row r="620" spans="2:10" ht="15.75" x14ac:dyDescent="0.25">
      <c r="B620" s="148">
        <v>584</v>
      </c>
      <c r="C620" s="144"/>
      <c r="D620" s="145"/>
      <c r="E620" s="149"/>
      <c r="G620" s="150"/>
      <c r="H620" s="150"/>
      <c r="I620" s="150"/>
      <c r="J620" s="150"/>
    </row>
    <row r="621" spans="2:10" ht="15.75" x14ac:dyDescent="0.25">
      <c r="B621" s="148">
        <v>585</v>
      </c>
      <c r="C621" s="144"/>
      <c r="D621" s="145"/>
      <c r="E621" s="149"/>
      <c r="G621" s="150"/>
      <c r="H621" s="150"/>
      <c r="I621" s="150"/>
      <c r="J621" s="150"/>
    </row>
    <row r="622" spans="2:10" ht="15.75" x14ac:dyDescent="0.25">
      <c r="B622" s="148">
        <v>586</v>
      </c>
      <c r="C622" s="144"/>
      <c r="D622" s="145"/>
      <c r="E622" s="149"/>
      <c r="G622" s="150"/>
      <c r="H622" s="150"/>
      <c r="I622" s="150"/>
      <c r="J622" s="150"/>
    </row>
    <row r="623" spans="2:10" ht="15.75" x14ac:dyDescent="0.25">
      <c r="B623" s="148">
        <v>587</v>
      </c>
      <c r="C623" s="144"/>
      <c r="D623" s="145"/>
      <c r="E623" s="149"/>
      <c r="G623" s="150"/>
      <c r="H623" s="150"/>
      <c r="I623" s="150"/>
      <c r="J623" s="150"/>
    </row>
    <row r="624" spans="2:10" ht="15.75" x14ac:dyDescent="0.25">
      <c r="B624" s="148">
        <v>588</v>
      </c>
      <c r="C624" s="144"/>
      <c r="D624" s="145"/>
      <c r="E624" s="149"/>
      <c r="G624" s="150"/>
      <c r="H624" s="150"/>
      <c r="I624" s="150"/>
      <c r="J624" s="150"/>
    </row>
    <row r="625" spans="2:10" ht="15.75" x14ac:dyDescent="0.25">
      <c r="B625" s="148">
        <v>589</v>
      </c>
      <c r="C625" s="144"/>
      <c r="D625" s="145"/>
      <c r="E625" s="149"/>
      <c r="G625" s="150"/>
      <c r="H625" s="150"/>
      <c r="I625" s="150"/>
      <c r="J625" s="150"/>
    </row>
    <row r="626" spans="2:10" ht="15.75" x14ac:dyDescent="0.25">
      <c r="B626" s="148">
        <v>590</v>
      </c>
      <c r="C626" s="144"/>
      <c r="D626" s="145"/>
      <c r="E626" s="149"/>
      <c r="G626" s="150"/>
      <c r="H626" s="150"/>
      <c r="I626" s="150"/>
      <c r="J626" s="150"/>
    </row>
    <row r="627" spans="2:10" ht="15.75" x14ac:dyDescent="0.25">
      <c r="B627" s="148">
        <v>591</v>
      </c>
      <c r="C627" s="144"/>
      <c r="D627" s="145"/>
      <c r="E627" s="149"/>
      <c r="G627" s="150"/>
      <c r="H627" s="150"/>
      <c r="I627" s="150"/>
      <c r="J627" s="150"/>
    </row>
    <row r="628" spans="2:10" ht="15.75" x14ac:dyDescent="0.25">
      <c r="B628" s="148">
        <v>592</v>
      </c>
      <c r="C628" s="144"/>
      <c r="D628" s="145"/>
      <c r="E628" s="149"/>
      <c r="G628" s="150"/>
      <c r="H628" s="150"/>
      <c r="I628" s="150"/>
      <c r="J628" s="150"/>
    </row>
    <row r="629" spans="2:10" ht="15.75" x14ac:dyDescent="0.25">
      <c r="B629" s="148">
        <v>593</v>
      </c>
      <c r="C629" s="144"/>
      <c r="D629" s="145"/>
      <c r="E629" s="149"/>
      <c r="G629" s="150"/>
      <c r="H629" s="150"/>
      <c r="I629" s="150"/>
      <c r="J629" s="150"/>
    </row>
    <row r="630" spans="2:10" ht="15.75" x14ac:dyDescent="0.25">
      <c r="B630" s="148">
        <v>594</v>
      </c>
      <c r="C630" s="144"/>
      <c r="D630" s="145"/>
      <c r="E630" s="149"/>
      <c r="G630" s="150"/>
      <c r="H630" s="150"/>
      <c r="I630" s="150"/>
      <c r="J630" s="150"/>
    </row>
    <row r="631" spans="2:10" ht="15.75" x14ac:dyDescent="0.25">
      <c r="B631" s="148">
        <v>595</v>
      </c>
      <c r="C631" s="144"/>
      <c r="D631" s="145"/>
      <c r="E631" s="149"/>
      <c r="G631" s="150"/>
      <c r="H631" s="150"/>
      <c r="I631" s="150"/>
      <c r="J631" s="150"/>
    </row>
    <row r="632" spans="2:10" ht="15.75" x14ac:dyDescent="0.25">
      <c r="B632" s="148">
        <v>596</v>
      </c>
      <c r="C632" s="144"/>
      <c r="D632" s="145"/>
      <c r="E632" s="149"/>
      <c r="G632" s="150"/>
      <c r="H632" s="150"/>
      <c r="I632" s="150"/>
      <c r="J632" s="150"/>
    </row>
    <row r="633" spans="2:10" ht="15.75" x14ac:dyDescent="0.25">
      <c r="B633" s="148">
        <v>597</v>
      </c>
      <c r="C633" s="144"/>
      <c r="D633" s="145"/>
      <c r="E633" s="149"/>
      <c r="G633" s="150"/>
      <c r="H633" s="150"/>
      <c r="I633" s="150"/>
      <c r="J633" s="150"/>
    </row>
    <row r="634" spans="2:10" ht="15.75" x14ac:dyDescent="0.25">
      <c r="B634" s="148">
        <v>598</v>
      </c>
      <c r="C634" s="144"/>
      <c r="D634" s="145"/>
      <c r="E634" s="149"/>
      <c r="G634" s="150"/>
      <c r="H634" s="150"/>
      <c r="I634" s="150"/>
      <c r="J634" s="150"/>
    </row>
    <row r="635" spans="2:10" ht="15.75" x14ac:dyDescent="0.25">
      <c r="B635" s="148">
        <v>599</v>
      </c>
      <c r="C635" s="144"/>
      <c r="D635" s="145"/>
      <c r="E635" s="149"/>
      <c r="G635" s="150"/>
      <c r="H635" s="150"/>
      <c r="I635" s="150"/>
      <c r="J635" s="150"/>
    </row>
    <row r="636" spans="2:10" ht="15.75" x14ac:dyDescent="0.25">
      <c r="B636" s="148">
        <v>600</v>
      </c>
      <c r="C636" s="144"/>
      <c r="D636" s="145"/>
      <c r="E636" s="149"/>
      <c r="G636" s="150"/>
      <c r="H636" s="150"/>
      <c r="I636" s="150"/>
      <c r="J636" s="150"/>
    </row>
    <row r="637" spans="2:10" ht="15.75" x14ac:dyDescent="0.25">
      <c r="B637" s="148">
        <v>601</v>
      </c>
      <c r="C637" s="144"/>
      <c r="D637" s="145"/>
      <c r="E637" s="149"/>
      <c r="G637" s="150"/>
      <c r="H637" s="150"/>
      <c r="I637" s="150"/>
      <c r="J637" s="150"/>
    </row>
    <row r="638" spans="2:10" ht="15.75" x14ac:dyDescent="0.25">
      <c r="B638" s="148">
        <v>602</v>
      </c>
      <c r="C638" s="144"/>
      <c r="D638" s="145"/>
      <c r="E638" s="149"/>
      <c r="G638" s="150"/>
      <c r="H638" s="150"/>
      <c r="I638" s="150"/>
      <c r="J638" s="150"/>
    </row>
    <row r="639" spans="2:10" ht="15.75" x14ac:dyDescent="0.25">
      <c r="B639" s="148">
        <v>603</v>
      </c>
      <c r="C639" s="144"/>
      <c r="D639" s="145"/>
      <c r="E639" s="149"/>
      <c r="G639" s="150"/>
      <c r="H639" s="150"/>
      <c r="I639" s="150"/>
      <c r="J639" s="150"/>
    </row>
    <row r="640" spans="2:10" ht="15.75" x14ac:dyDescent="0.25">
      <c r="B640" s="148">
        <v>604</v>
      </c>
      <c r="C640" s="144"/>
      <c r="D640" s="145"/>
      <c r="E640" s="149"/>
      <c r="G640" s="150"/>
      <c r="H640" s="150"/>
      <c r="I640" s="150"/>
      <c r="J640" s="150"/>
    </row>
    <row r="641" spans="2:10" ht="15.75" x14ac:dyDescent="0.25">
      <c r="B641" s="148">
        <v>605</v>
      </c>
      <c r="C641" s="144"/>
      <c r="D641" s="145"/>
      <c r="E641" s="149"/>
      <c r="G641" s="150"/>
      <c r="H641" s="150"/>
      <c r="I641" s="150"/>
      <c r="J641" s="150"/>
    </row>
    <row r="642" spans="2:10" ht="15.75" x14ac:dyDescent="0.25">
      <c r="B642" s="148">
        <v>606</v>
      </c>
      <c r="C642" s="144"/>
      <c r="D642" s="145"/>
      <c r="E642" s="149"/>
      <c r="G642" s="150"/>
      <c r="H642" s="150"/>
      <c r="I642" s="150"/>
      <c r="J642" s="150"/>
    </row>
    <row r="643" spans="2:10" ht="15.75" x14ac:dyDescent="0.25">
      <c r="B643" s="148">
        <v>607</v>
      </c>
      <c r="C643" s="144"/>
      <c r="D643" s="145"/>
      <c r="E643" s="149"/>
      <c r="G643" s="150"/>
      <c r="H643" s="150"/>
      <c r="I643" s="150"/>
      <c r="J643" s="150"/>
    </row>
    <row r="644" spans="2:10" ht="15.75" x14ac:dyDescent="0.25">
      <c r="B644" s="148">
        <v>608</v>
      </c>
      <c r="C644" s="144"/>
      <c r="D644" s="145"/>
      <c r="E644" s="149"/>
      <c r="G644" s="150"/>
      <c r="H644" s="150"/>
      <c r="I644" s="150"/>
      <c r="J644" s="150"/>
    </row>
    <row r="645" spans="2:10" ht="15.75" x14ac:dyDescent="0.25">
      <c r="B645" s="148">
        <v>609</v>
      </c>
      <c r="C645" s="144"/>
      <c r="D645" s="145"/>
      <c r="E645" s="149"/>
      <c r="G645" s="150"/>
      <c r="H645" s="150"/>
      <c r="I645" s="150"/>
      <c r="J645" s="150"/>
    </row>
    <row r="646" spans="2:10" ht="15.75" x14ac:dyDescent="0.25">
      <c r="B646" s="148">
        <v>610</v>
      </c>
      <c r="C646" s="144"/>
      <c r="D646" s="145"/>
      <c r="E646" s="149"/>
      <c r="G646" s="150"/>
      <c r="H646" s="150"/>
      <c r="I646" s="150"/>
      <c r="J646" s="150"/>
    </row>
    <row r="647" spans="2:10" ht="15.75" x14ac:dyDescent="0.25">
      <c r="B647" s="148">
        <v>611</v>
      </c>
      <c r="C647" s="144"/>
      <c r="D647" s="145"/>
      <c r="E647" s="149"/>
      <c r="G647" s="150"/>
      <c r="H647" s="150"/>
      <c r="I647" s="150"/>
      <c r="J647" s="150"/>
    </row>
    <row r="648" spans="2:10" ht="15.75" x14ac:dyDescent="0.25">
      <c r="B648" s="148">
        <v>612</v>
      </c>
      <c r="C648" s="144"/>
      <c r="D648" s="145"/>
      <c r="E648" s="149"/>
      <c r="G648" s="150"/>
      <c r="H648" s="150"/>
      <c r="I648" s="150"/>
      <c r="J648" s="150"/>
    </row>
    <row r="649" spans="2:10" ht="15.75" x14ac:dyDescent="0.25">
      <c r="B649" s="148">
        <v>613</v>
      </c>
      <c r="C649" s="144"/>
      <c r="D649" s="145"/>
      <c r="E649" s="149"/>
      <c r="G649" s="150"/>
      <c r="H649" s="150"/>
      <c r="I649" s="150"/>
      <c r="J649" s="150"/>
    </row>
    <row r="650" spans="2:10" ht="15.75" x14ac:dyDescent="0.25">
      <c r="B650" s="148">
        <v>614</v>
      </c>
      <c r="C650" s="144"/>
      <c r="D650" s="145"/>
      <c r="E650" s="149"/>
      <c r="G650" s="150"/>
      <c r="H650" s="150"/>
      <c r="I650" s="150"/>
      <c r="J650" s="150"/>
    </row>
    <row r="651" spans="2:10" ht="15.75" x14ac:dyDescent="0.25">
      <c r="B651" s="148">
        <v>615</v>
      </c>
      <c r="C651" s="144"/>
      <c r="D651" s="145"/>
      <c r="E651" s="149"/>
      <c r="G651" s="150"/>
      <c r="H651" s="150"/>
      <c r="I651" s="150"/>
      <c r="J651" s="150"/>
    </row>
    <row r="652" spans="2:10" ht="15.75" x14ac:dyDescent="0.25">
      <c r="B652" s="148">
        <v>616</v>
      </c>
      <c r="C652" s="144"/>
      <c r="D652" s="145"/>
      <c r="E652" s="149"/>
      <c r="G652" s="150"/>
      <c r="H652" s="150"/>
      <c r="I652" s="150"/>
      <c r="J652" s="150"/>
    </row>
    <row r="653" spans="2:10" ht="15.75" x14ac:dyDescent="0.25">
      <c r="B653" s="148">
        <v>617</v>
      </c>
      <c r="C653" s="144"/>
      <c r="D653" s="145"/>
      <c r="E653" s="149"/>
      <c r="G653" s="150"/>
      <c r="H653" s="150"/>
      <c r="I653" s="150"/>
      <c r="J653" s="150"/>
    </row>
    <row r="654" spans="2:10" ht="15.75" x14ac:dyDescent="0.25">
      <c r="B654" s="148">
        <v>618</v>
      </c>
      <c r="C654" s="144"/>
      <c r="D654" s="145"/>
      <c r="E654" s="149"/>
      <c r="G654" s="150"/>
      <c r="H654" s="150"/>
      <c r="I654" s="150"/>
      <c r="J654" s="150"/>
    </row>
    <row r="655" spans="2:10" ht="15.75" x14ac:dyDescent="0.25">
      <c r="B655" s="148">
        <v>619</v>
      </c>
      <c r="C655" s="144"/>
      <c r="D655" s="145"/>
      <c r="E655" s="149"/>
      <c r="G655" s="150"/>
      <c r="H655" s="150"/>
      <c r="I655" s="150"/>
      <c r="J655" s="150"/>
    </row>
    <row r="656" spans="2:10" ht="15.75" x14ac:dyDescent="0.25">
      <c r="B656" s="148">
        <v>620</v>
      </c>
      <c r="C656" s="144"/>
      <c r="D656" s="145"/>
      <c r="E656" s="149"/>
      <c r="G656" s="150"/>
      <c r="H656" s="150"/>
      <c r="I656" s="150"/>
      <c r="J656" s="150"/>
    </row>
    <row r="657" spans="2:10" ht="15.75" x14ac:dyDescent="0.25">
      <c r="B657" s="148">
        <v>621</v>
      </c>
      <c r="C657" s="144"/>
      <c r="D657" s="145"/>
      <c r="E657" s="149"/>
      <c r="G657" s="150"/>
      <c r="H657" s="150"/>
      <c r="I657" s="150"/>
      <c r="J657" s="150"/>
    </row>
    <row r="658" spans="2:10" ht="15.75" x14ac:dyDescent="0.25">
      <c r="B658" s="148">
        <v>622</v>
      </c>
      <c r="C658" s="144"/>
      <c r="D658" s="145"/>
      <c r="E658" s="149"/>
      <c r="G658" s="150"/>
      <c r="H658" s="150"/>
      <c r="I658" s="150"/>
      <c r="J658" s="150"/>
    </row>
    <row r="659" spans="2:10" ht="15.75" x14ac:dyDescent="0.25">
      <c r="B659" s="148">
        <v>623</v>
      </c>
      <c r="C659" s="144"/>
      <c r="D659" s="145"/>
      <c r="E659" s="149"/>
      <c r="G659" s="150"/>
      <c r="H659" s="150"/>
      <c r="I659" s="150"/>
      <c r="J659" s="150"/>
    </row>
    <row r="660" spans="2:10" ht="15.75" x14ac:dyDescent="0.25">
      <c r="B660" s="148">
        <v>624</v>
      </c>
      <c r="C660" s="144"/>
      <c r="D660" s="145"/>
      <c r="E660" s="149"/>
      <c r="G660" s="150"/>
      <c r="H660" s="150"/>
      <c r="I660" s="150"/>
      <c r="J660" s="150"/>
    </row>
    <row r="661" spans="2:10" ht="15.75" x14ac:dyDescent="0.25">
      <c r="B661" s="148">
        <v>625</v>
      </c>
      <c r="C661" s="144"/>
      <c r="D661" s="145"/>
      <c r="E661" s="149"/>
      <c r="G661" s="150"/>
      <c r="H661" s="150"/>
      <c r="I661" s="150"/>
      <c r="J661" s="150"/>
    </row>
    <row r="662" spans="2:10" ht="15.75" x14ac:dyDescent="0.25">
      <c r="B662" s="148">
        <v>626</v>
      </c>
      <c r="C662" s="144"/>
      <c r="D662" s="145"/>
      <c r="E662" s="149"/>
      <c r="G662" s="150"/>
      <c r="H662" s="150"/>
      <c r="I662" s="150"/>
      <c r="J662" s="150"/>
    </row>
    <row r="663" spans="2:10" ht="15.75" x14ac:dyDescent="0.25">
      <c r="B663" s="148">
        <v>627</v>
      </c>
      <c r="C663" s="144"/>
      <c r="D663" s="145"/>
      <c r="E663" s="149"/>
      <c r="G663" s="150"/>
      <c r="H663" s="150"/>
      <c r="I663" s="150"/>
      <c r="J663" s="150"/>
    </row>
    <row r="664" spans="2:10" ht="15.75" x14ac:dyDescent="0.25">
      <c r="B664" s="148">
        <v>628</v>
      </c>
      <c r="C664" s="144"/>
      <c r="D664" s="145"/>
      <c r="E664" s="149"/>
      <c r="G664" s="150"/>
      <c r="H664" s="150"/>
      <c r="I664" s="150"/>
      <c r="J664" s="150"/>
    </row>
    <row r="665" spans="2:10" ht="15.75" x14ac:dyDescent="0.25">
      <c r="B665" s="148">
        <v>629</v>
      </c>
      <c r="C665" s="144"/>
      <c r="D665" s="145"/>
      <c r="E665" s="149"/>
      <c r="G665" s="150"/>
      <c r="H665" s="150"/>
      <c r="I665" s="150"/>
      <c r="J665" s="150"/>
    </row>
    <row r="666" spans="2:10" ht="15.75" x14ac:dyDescent="0.25">
      <c r="B666" s="148">
        <v>630</v>
      </c>
      <c r="C666" s="144"/>
      <c r="D666" s="145"/>
      <c r="E666" s="149"/>
      <c r="G666" s="150"/>
      <c r="H666" s="150"/>
      <c r="I666" s="150"/>
      <c r="J666" s="150"/>
    </row>
    <row r="667" spans="2:10" ht="15.75" x14ac:dyDescent="0.25">
      <c r="B667" s="148">
        <v>631</v>
      </c>
      <c r="C667" s="144"/>
      <c r="D667" s="145"/>
      <c r="E667" s="149"/>
      <c r="G667" s="150"/>
      <c r="H667" s="150"/>
      <c r="I667" s="150"/>
      <c r="J667" s="150"/>
    </row>
    <row r="668" spans="2:10" ht="15.75" x14ac:dyDescent="0.25">
      <c r="B668" s="148">
        <v>632</v>
      </c>
      <c r="C668" s="144"/>
      <c r="D668" s="145"/>
      <c r="E668" s="149"/>
      <c r="G668" s="150"/>
      <c r="H668" s="150"/>
      <c r="I668" s="150"/>
      <c r="J668" s="150"/>
    </row>
    <row r="669" spans="2:10" ht="15.75" x14ac:dyDescent="0.25">
      <c r="B669" s="148">
        <v>633</v>
      </c>
      <c r="C669" s="144"/>
      <c r="D669" s="145"/>
      <c r="E669" s="149"/>
      <c r="G669" s="150"/>
      <c r="H669" s="150"/>
      <c r="I669" s="150"/>
      <c r="J669" s="150"/>
    </row>
    <row r="670" spans="2:10" ht="15.75" x14ac:dyDescent="0.25">
      <c r="B670" s="148">
        <v>634</v>
      </c>
      <c r="C670" s="144"/>
      <c r="D670" s="145"/>
      <c r="E670" s="149"/>
      <c r="G670" s="150"/>
      <c r="H670" s="150"/>
      <c r="I670" s="150"/>
      <c r="J670" s="150"/>
    </row>
    <row r="671" spans="2:10" ht="15.75" x14ac:dyDescent="0.25">
      <c r="B671" s="148">
        <v>635</v>
      </c>
      <c r="C671" s="144"/>
      <c r="D671" s="145"/>
      <c r="E671" s="149"/>
      <c r="G671" s="150"/>
      <c r="H671" s="150"/>
      <c r="I671" s="150"/>
      <c r="J671" s="150"/>
    </row>
    <row r="672" spans="2:10" ht="15.75" x14ac:dyDescent="0.25">
      <c r="B672" s="148">
        <v>636</v>
      </c>
      <c r="C672" s="144"/>
      <c r="D672" s="145"/>
      <c r="E672" s="149"/>
      <c r="G672" s="150"/>
      <c r="H672" s="150"/>
      <c r="I672" s="150"/>
      <c r="J672" s="150"/>
    </row>
    <row r="673" spans="2:10" ht="15.75" x14ac:dyDescent="0.25">
      <c r="B673" s="148">
        <v>637</v>
      </c>
      <c r="C673" s="144"/>
      <c r="D673" s="145"/>
      <c r="E673" s="149"/>
      <c r="G673" s="150"/>
      <c r="H673" s="150"/>
      <c r="I673" s="150"/>
      <c r="J673" s="150"/>
    </row>
    <row r="674" spans="2:10" ht="15.75" x14ac:dyDescent="0.25">
      <c r="B674" s="148">
        <v>638</v>
      </c>
      <c r="C674" s="144"/>
      <c r="D674" s="145"/>
      <c r="E674" s="149"/>
      <c r="G674" s="150"/>
      <c r="H674" s="150"/>
      <c r="I674" s="150"/>
      <c r="J674" s="150"/>
    </row>
    <row r="675" spans="2:10" ht="15.75" x14ac:dyDescent="0.25">
      <c r="B675" s="148">
        <v>639</v>
      </c>
      <c r="C675" s="144"/>
      <c r="D675" s="145"/>
      <c r="E675" s="149"/>
      <c r="G675" s="150"/>
      <c r="H675" s="150"/>
      <c r="I675" s="150"/>
      <c r="J675" s="150"/>
    </row>
    <row r="676" spans="2:10" ht="15.75" x14ac:dyDescent="0.25">
      <c r="B676" s="148">
        <v>640</v>
      </c>
      <c r="C676" s="144"/>
      <c r="D676" s="145"/>
      <c r="E676" s="149"/>
      <c r="G676" s="150"/>
      <c r="H676" s="150"/>
      <c r="I676" s="150"/>
      <c r="J676" s="150"/>
    </row>
    <row r="677" spans="2:10" ht="15.75" x14ac:dyDescent="0.25">
      <c r="B677" s="148">
        <v>641</v>
      </c>
      <c r="C677" s="144"/>
      <c r="D677" s="145"/>
      <c r="E677" s="149"/>
      <c r="G677" s="150"/>
      <c r="H677" s="150"/>
      <c r="I677" s="150"/>
      <c r="J677" s="150"/>
    </row>
    <row r="678" spans="2:10" ht="15.75" x14ac:dyDescent="0.25">
      <c r="B678" s="148">
        <v>642</v>
      </c>
      <c r="C678" s="144"/>
      <c r="D678" s="145"/>
      <c r="E678" s="149"/>
      <c r="G678" s="150"/>
      <c r="H678" s="150"/>
      <c r="I678" s="150"/>
      <c r="J678" s="150"/>
    </row>
    <row r="679" spans="2:10" ht="15.75" x14ac:dyDescent="0.25">
      <c r="B679" s="148">
        <v>643</v>
      </c>
      <c r="C679" s="144"/>
      <c r="D679" s="145"/>
      <c r="E679" s="149"/>
      <c r="G679" s="150"/>
      <c r="H679" s="150"/>
      <c r="I679" s="150"/>
      <c r="J679" s="150"/>
    </row>
    <row r="680" spans="2:10" ht="15.75" x14ac:dyDescent="0.25">
      <c r="B680" s="148">
        <v>644</v>
      </c>
      <c r="C680" s="144"/>
      <c r="D680" s="145"/>
      <c r="E680" s="149"/>
      <c r="G680" s="150"/>
      <c r="H680" s="150"/>
      <c r="I680" s="150"/>
      <c r="J680" s="150"/>
    </row>
    <row r="681" spans="2:10" ht="15.75" x14ac:dyDescent="0.25">
      <c r="B681" s="148">
        <v>645</v>
      </c>
      <c r="C681" s="144"/>
      <c r="D681" s="145"/>
      <c r="E681" s="149"/>
      <c r="G681" s="150"/>
      <c r="H681" s="150"/>
      <c r="I681" s="150"/>
      <c r="J681" s="150"/>
    </row>
    <row r="682" spans="2:10" ht="15.75" x14ac:dyDescent="0.25">
      <c r="B682" s="148">
        <v>646</v>
      </c>
      <c r="C682" s="144"/>
      <c r="D682" s="145"/>
      <c r="E682" s="149"/>
      <c r="G682" s="150"/>
      <c r="H682" s="150"/>
      <c r="I682" s="150"/>
      <c r="J682" s="150"/>
    </row>
    <row r="683" spans="2:10" ht="15.75" x14ac:dyDescent="0.25">
      <c r="B683" s="148">
        <v>647</v>
      </c>
      <c r="C683" s="144"/>
      <c r="D683" s="145"/>
      <c r="E683" s="149"/>
      <c r="G683" s="150"/>
      <c r="H683" s="150"/>
      <c r="I683" s="150"/>
      <c r="J683" s="150"/>
    </row>
    <row r="684" spans="2:10" ht="15.75" x14ac:dyDescent="0.25">
      <c r="B684" s="148">
        <v>648</v>
      </c>
      <c r="C684" s="144"/>
      <c r="D684" s="145"/>
      <c r="E684" s="149"/>
      <c r="G684" s="150"/>
      <c r="H684" s="150"/>
      <c r="I684" s="150"/>
      <c r="J684" s="150"/>
    </row>
    <row r="685" spans="2:10" ht="15.75" x14ac:dyDescent="0.25">
      <c r="B685" s="148">
        <v>649</v>
      </c>
      <c r="C685" s="144"/>
      <c r="D685" s="145"/>
      <c r="E685" s="149"/>
      <c r="G685" s="150"/>
      <c r="H685" s="150"/>
      <c r="I685" s="150"/>
      <c r="J685" s="150"/>
    </row>
    <row r="686" spans="2:10" ht="15.75" x14ac:dyDescent="0.25">
      <c r="B686" s="148">
        <v>650</v>
      </c>
      <c r="C686" s="144"/>
      <c r="D686" s="145"/>
      <c r="E686" s="149"/>
      <c r="G686" s="150"/>
      <c r="H686" s="150"/>
      <c r="I686" s="150"/>
      <c r="J686" s="150"/>
    </row>
    <row r="687" spans="2:10" ht="15.75" x14ac:dyDescent="0.25">
      <c r="B687" s="148">
        <v>651</v>
      </c>
      <c r="C687" s="144"/>
      <c r="D687" s="145"/>
      <c r="E687" s="149"/>
      <c r="G687" s="150"/>
      <c r="H687" s="150"/>
      <c r="I687" s="150"/>
      <c r="J687" s="150"/>
    </row>
    <row r="688" spans="2:10" ht="15.75" x14ac:dyDescent="0.25">
      <c r="B688" s="148">
        <v>652</v>
      </c>
      <c r="C688" s="144"/>
      <c r="D688" s="145"/>
      <c r="E688" s="149"/>
      <c r="G688" s="150"/>
      <c r="H688" s="150"/>
      <c r="I688" s="150"/>
      <c r="J688" s="150"/>
    </row>
    <row r="689" spans="2:10" ht="15.75" x14ac:dyDescent="0.25">
      <c r="B689" s="148">
        <v>653</v>
      </c>
      <c r="C689" s="144"/>
      <c r="D689" s="145"/>
      <c r="E689" s="149"/>
      <c r="G689" s="150"/>
      <c r="H689" s="150"/>
      <c r="I689" s="150"/>
      <c r="J689" s="150"/>
    </row>
    <row r="690" spans="2:10" ht="15.75" x14ac:dyDescent="0.25">
      <c r="B690" s="148">
        <v>654</v>
      </c>
      <c r="C690" s="144"/>
      <c r="D690" s="145"/>
      <c r="E690" s="149"/>
      <c r="G690" s="150"/>
      <c r="H690" s="150"/>
      <c r="I690" s="150"/>
      <c r="J690" s="150"/>
    </row>
    <row r="691" spans="2:10" ht="15.75" x14ac:dyDescent="0.25">
      <c r="B691" s="148">
        <v>655</v>
      </c>
      <c r="C691" s="144"/>
      <c r="D691" s="145"/>
      <c r="E691" s="149"/>
      <c r="G691" s="150"/>
      <c r="H691" s="150"/>
      <c r="I691" s="150"/>
      <c r="J691" s="150"/>
    </row>
    <row r="692" spans="2:10" ht="15.75" x14ac:dyDescent="0.25">
      <c r="B692" s="148">
        <v>656</v>
      </c>
      <c r="C692" s="144"/>
      <c r="D692" s="145"/>
      <c r="E692" s="149"/>
      <c r="G692" s="150"/>
      <c r="H692" s="150"/>
      <c r="I692" s="150"/>
      <c r="J692" s="150"/>
    </row>
    <row r="693" spans="2:10" ht="15.75" x14ac:dyDescent="0.25">
      <c r="B693" s="148">
        <v>657</v>
      </c>
      <c r="C693" s="144"/>
      <c r="D693" s="145"/>
      <c r="E693" s="149"/>
      <c r="G693" s="150"/>
      <c r="H693" s="150"/>
      <c r="I693" s="150"/>
      <c r="J693" s="150"/>
    </row>
    <row r="694" spans="2:10" ht="15.75" x14ac:dyDescent="0.25">
      <c r="B694" s="148">
        <v>658</v>
      </c>
      <c r="C694" s="144"/>
      <c r="D694" s="145"/>
      <c r="E694" s="149"/>
      <c r="G694" s="150"/>
      <c r="H694" s="150"/>
      <c r="I694" s="150"/>
      <c r="J694" s="150"/>
    </row>
    <row r="695" spans="2:10" ht="15.75" x14ac:dyDescent="0.25">
      <c r="B695" s="148">
        <v>659</v>
      </c>
      <c r="C695" s="144"/>
      <c r="D695" s="145"/>
      <c r="E695" s="149"/>
      <c r="G695" s="150"/>
      <c r="H695" s="150"/>
      <c r="I695" s="150"/>
      <c r="J695" s="150"/>
    </row>
    <row r="696" spans="2:10" ht="15.75" x14ac:dyDescent="0.25">
      <c r="B696" s="148">
        <v>660</v>
      </c>
      <c r="C696" s="144"/>
      <c r="D696" s="145"/>
      <c r="E696" s="149"/>
      <c r="G696" s="150"/>
      <c r="H696" s="150"/>
      <c r="I696" s="150"/>
      <c r="J696" s="150"/>
    </row>
    <row r="697" spans="2:10" ht="15.75" x14ac:dyDescent="0.25">
      <c r="B697" s="148">
        <v>661</v>
      </c>
      <c r="C697" s="144"/>
      <c r="D697" s="145"/>
      <c r="E697" s="149"/>
      <c r="G697" s="150"/>
      <c r="H697" s="150"/>
      <c r="I697" s="150"/>
      <c r="J697" s="150"/>
    </row>
    <row r="698" spans="2:10" ht="15.75" x14ac:dyDescent="0.25">
      <c r="B698" s="148">
        <v>662</v>
      </c>
      <c r="C698" s="144"/>
      <c r="D698" s="145"/>
      <c r="E698" s="149"/>
      <c r="G698" s="150"/>
      <c r="H698" s="150"/>
      <c r="I698" s="150"/>
      <c r="J698" s="150"/>
    </row>
    <row r="699" spans="2:10" ht="15.75" x14ac:dyDescent="0.25">
      <c r="B699" s="148">
        <v>663</v>
      </c>
      <c r="C699" s="144"/>
      <c r="D699" s="145"/>
      <c r="E699" s="149"/>
      <c r="G699" s="150"/>
      <c r="H699" s="150"/>
      <c r="I699" s="150"/>
      <c r="J699" s="150"/>
    </row>
    <row r="700" spans="2:10" ht="15.75" x14ac:dyDescent="0.25">
      <c r="B700" s="148">
        <v>664</v>
      </c>
      <c r="C700" s="144"/>
      <c r="D700" s="145"/>
      <c r="E700" s="149"/>
      <c r="G700" s="150"/>
      <c r="H700" s="150"/>
      <c r="I700" s="150"/>
      <c r="J700" s="150"/>
    </row>
    <row r="701" spans="2:10" ht="15.75" x14ac:dyDescent="0.25">
      <c r="B701" s="148">
        <v>665</v>
      </c>
      <c r="C701" s="144"/>
      <c r="D701" s="145"/>
      <c r="E701" s="149"/>
      <c r="G701" s="150"/>
      <c r="H701" s="150"/>
      <c r="I701" s="150"/>
      <c r="J701" s="150"/>
    </row>
    <row r="702" spans="2:10" ht="15.75" x14ac:dyDescent="0.25">
      <c r="B702" s="148">
        <v>666</v>
      </c>
      <c r="C702" s="144"/>
      <c r="D702" s="145"/>
      <c r="E702" s="149"/>
      <c r="G702" s="150"/>
      <c r="H702" s="150"/>
      <c r="I702" s="150"/>
      <c r="J702" s="150"/>
    </row>
    <row r="703" spans="2:10" ht="15.75" x14ac:dyDescent="0.25">
      <c r="B703" s="148">
        <v>667</v>
      </c>
      <c r="C703" s="144"/>
      <c r="D703" s="145"/>
      <c r="E703" s="149"/>
      <c r="G703" s="150"/>
      <c r="H703" s="150"/>
      <c r="I703" s="150"/>
      <c r="J703" s="150"/>
    </row>
    <row r="704" spans="2:10" ht="15.75" x14ac:dyDescent="0.25">
      <c r="B704" s="148">
        <v>668</v>
      </c>
      <c r="C704" s="144"/>
      <c r="D704" s="145"/>
      <c r="E704" s="149"/>
      <c r="G704" s="150"/>
      <c r="H704" s="150"/>
      <c r="I704" s="150"/>
      <c r="J704" s="150"/>
    </row>
    <row r="705" spans="2:10" ht="15.75" x14ac:dyDescent="0.25">
      <c r="B705" s="148">
        <v>669</v>
      </c>
      <c r="C705" s="144"/>
      <c r="D705" s="145"/>
      <c r="E705" s="149"/>
      <c r="G705" s="150"/>
      <c r="H705" s="150"/>
      <c r="I705" s="150"/>
      <c r="J705" s="150"/>
    </row>
    <row r="706" spans="2:10" ht="15.75" x14ac:dyDescent="0.25">
      <c r="B706" s="148">
        <v>670</v>
      </c>
      <c r="C706" s="144"/>
      <c r="D706" s="145"/>
      <c r="E706" s="149"/>
      <c r="G706" s="150"/>
      <c r="H706" s="150"/>
      <c r="I706" s="150"/>
      <c r="J706" s="150"/>
    </row>
    <row r="707" spans="2:10" ht="15.75" x14ac:dyDescent="0.25">
      <c r="B707" s="148">
        <v>671</v>
      </c>
      <c r="C707" s="144"/>
      <c r="D707" s="145"/>
      <c r="E707" s="149"/>
      <c r="G707" s="150"/>
      <c r="H707" s="150"/>
      <c r="I707" s="150"/>
      <c r="J707" s="150"/>
    </row>
    <row r="708" spans="2:10" ht="15.75" x14ac:dyDescent="0.25">
      <c r="B708" s="148">
        <v>672</v>
      </c>
      <c r="C708" s="144"/>
      <c r="D708" s="145"/>
      <c r="E708" s="149"/>
      <c r="G708" s="150"/>
      <c r="H708" s="150"/>
      <c r="I708" s="150"/>
      <c r="J708" s="150"/>
    </row>
    <row r="709" spans="2:10" ht="15.75" x14ac:dyDescent="0.25">
      <c r="B709" s="148">
        <v>673</v>
      </c>
      <c r="C709" s="144"/>
      <c r="D709" s="145"/>
      <c r="E709" s="149"/>
      <c r="G709" s="150"/>
      <c r="H709" s="150"/>
      <c r="I709" s="150"/>
      <c r="J709" s="150"/>
    </row>
    <row r="710" spans="2:10" ht="15.75" x14ac:dyDescent="0.25">
      <c r="B710" s="148">
        <v>674</v>
      </c>
      <c r="C710" s="144"/>
      <c r="D710" s="145"/>
      <c r="E710" s="149"/>
      <c r="G710" s="150"/>
      <c r="H710" s="150"/>
      <c r="I710" s="150"/>
      <c r="J710" s="150"/>
    </row>
    <row r="711" spans="2:10" ht="15.75" x14ac:dyDescent="0.25">
      <c r="B711" s="148">
        <v>675</v>
      </c>
      <c r="C711" s="144"/>
      <c r="D711" s="145"/>
      <c r="E711" s="149"/>
      <c r="G711" s="150"/>
      <c r="H711" s="150"/>
      <c r="I711" s="150"/>
      <c r="J711" s="150"/>
    </row>
    <row r="712" spans="2:10" ht="15.75" x14ac:dyDescent="0.25">
      <c r="B712" s="148">
        <v>676</v>
      </c>
      <c r="C712" s="144"/>
      <c r="D712" s="145"/>
      <c r="E712" s="149"/>
      <c r="G712" s="150"/>
      <c r="H712" s="150"/>
      <c r="I712" s="150"/>
      <c r="J712" s="150"/>
    </row>
    <row r="713" spans="2:10" ht="15.75" x14ac:dyDescent="0.25">
      <c r="B713" s="148">
        <v>677</v>
      </c>
      <c r="C713" s="144"/>
      <c r="D713" s="145"/>
      <c r="E713" s="149"/>
      <c r="G713" s="150"/>
      <c r="H713" s="150"/>
      <c r="I713" s="150"/>
      <c r="J713" s="150"/>
    </row>
    <row r="714" spans="2:10" ht="15.75" x14ac:dyDescent="0.25">
      <c r="B714" s="148">
        <v>678</v>
      </c>
      <c r="C714" s="144"/>
      <c r="D714" s="145"/>
      <c r="E714" s="149"/>
      <c r="G714" s="150"/>
      <c r="H714" s="150"/>
      <c r="I714" s="150"/>
      <c r="J714" s="150"/>
    </row>
    <row r="715" spans="2:10" ht="15.75" x14ac:dyDescent="0.25">
      <c r="B715" s="148">
        <v>679</v>
      </c>
      <c r="C715" s="144"/>
      <c r="D715" s="145"/>
      <c r="E715" s="149"/>
      <c r="G715" s="150"/>
      <c r="H715" s="150"/>
      <c r="I715" s="150"/>
      <c r="J715" s="150"/>
    </row>
    <row r="716" spans="2:10" ht="15.75" x14ac:dyDescent="0.25">
      <c r="B716" s="148">
        <v>680</v>
      </c>
      <c r="C716" s="144"/>
      <c r="D716" s="145"/>
      <c r="E716" s="149"/>
      <c r="G716" s="150"/>
      <c r="H716" s="150"/>
      <c r="I716" s="150"/>
      <c r="J716" s="150"/>
    </row>
    <row r="717" spans="2:10" ht="15.75" x14ac:dyDescent="0.25">
      <c r="B717" s="148">
        <v>681</v>
      </c>
      <c r="C717" s="144"/>
      <c r="D717" s="145"/>
      <c r="E717" s="149"/>
      <c r="G717" s="150"/>
      <c r="H717" s="150"/>
      <c r="I717" s="150"/>
      <c r="J717" s="150"/>
    </row>
    <row r="718" spans="2:10" ht="15.75" x14ac:dyDescent="0.25">
      <c r="B718" s="148">
        <v>682</v>
      </c>
      <c r="C718" s="144"/>
      <c r="D718" s="145"/>
      <c r="E718" s="149"/>
      <c r="G718" s="150"/>
      <c r="H718" s="150"/>
      <c r="I718" s="150"/>
      <c r="J718" s="150"/>
    </row>
    <row r="719" spans="2:10" ht="15.75" x14ac:dyDescent="0.25">
      <c r="B719" s="148">
        <v>683</v>
      </c>
      <c r="C719" s="144"/>
      <c r="D719" s="145"/>
      <c r="E719" s="149"/>
      <c r="G719" s="150"/>
      <c r="H719" s="150"/>
      <c r="I719" s="150"/>
      <c r="J719" s="150"/>
    </row>
    <row r="720" spans="2:10" ht="15.75" x14ac:dyDescent="0.25">
      <c r="B720" s="148">
        <v>684</v>
      </c>
      <c r="C720" s="144"/>
      <c r="D720" s="145"/>
      <c r="E720" s="149"/>
      <c r="G720" s="150"/>
      <c r="H720" s="150"/>
      <c r="I720" s="150"/>
      <c r="J720" s="150"/>
    </row>
    <row r="721" spans="2:10" ht="15.75" x14ac:dyDescent="0.25">
      <c r="B721" s="148">
        <v>685</v>
      </c>
      <c r="C721" s="144"/>
      <c r="D721" s="145"/>
      <c r="E721" s="149"/>
      <c r="G721" s="150"/>
      <c r="H721" s="150"/>
      <c r="I721" s="150"/>
      <c r="J721" s="150"/>
    </row>
    <row r="722" spans="2:10" ht="15.75" x14ac:dyDescent="0.25">
      <c r="B722" s="148">
        <v>686</v>
      </c>
      <c r="C722" s="144"/>
      <c r="D722" s="145"/>
      <c r="E722" s="149"/>
      <c r="G722" s="150"/>
      <c r="H722" s="150"/>
      <c r="I722" s="150"/>
      <c r="J722" s="150"/>
    </row>
    <row r="723" spans="2:10" ht="15.75" x14ac:dyDescent="0.25">
      <c r="B723" s="148">
        <v>687</v>
      </c>
      <c r="C723" s="144"/>
      <c r="D723" s="145"/>
      <c r="E723" s="149"/>
      <c r="G723" s="150"/>
      <c r="H723" s="150"/>
      <c r="I723" s="150"/>
      <c r="J723" s="150"/>
    </row>
    <row r="724" spans="2:10" ht="15.75" x14ac:dyDescent="0.25">
      <c r="B724" s="148">
        <v>688</v>
      </c>
      <c r="C724" s="144"/>
      <c r="D724" s="145"/>
      <c r="E724" s="149"/>
      <c r="G724" s="150"/>
      <c r="H724" s="150"/>
      <c r="I724" s="150"/>
      <c r="J724" s="150"/>
    </row>
    <row r="725" spans="2:10" ht="15.75" x14ac:dyDescent="0.25">
      <c r="B725" s="148">
        <v>689</v>
      </c>
      <c r="C725" s="144"/>
      <c r="D725" s="145"/>
      <c r="E725" s="149"/>
      <c r="G725" s="150"/>
      <c r="H725" s="150"/>
      <c r="I725" s="150"/>
      <c r="J725" s="150"/>
    </row>
    <row r="726" spans="2:10" ht="15.75" x14ac:dyDescent="0.25">
      <c r="B726" s="148">
        <v>690</v>
      </c>
      <c r="C726" s="144"/>
      <c r="D726" s="145"/>
      <c r="E726" s="149"/>
      <c r="G726" s="150"/>
      <c r="H726" s="150"/>
      <c r="I726" s="150"/>
      <c r="J726" s="150"/>
    </row>
    <row r="727" spans="2:10" ht="15.75" x14ac:dyDescent="0.25">
      <c r="B727" s="148">
        <v>691</v>
      </c>
      <c r="C727" s="144"/>
      <c r="D727" s="145"/>
      <c r="E727" s="149"/>
      <c r="G727" s="150"/>
      <c r="H727" s="150"/>
      <c r="I727" s="150"/>
      <c r="J727" s="150"/>
    </row>
    <row r="728" spans="2:10" ht="15.75" x14ac:dyDescent="0.25">
      <c r="B728" s="148">
        <v>692</v>
      </c>
      <c r="C728" s="144"/>
      <c r="D728" s="145"/>
      <c r="E728" s="149"/>
      <c r="G728" s="150"/>
      <c r="H728" s="150"/>
      <c r="I728" s="150"/>
      <c r="J728" s="150"/>
    </row>
    <row r="729" spans="2:10" ht="15.75" x14ac:dyDescent="0.25">
      <c r="B729" s="148">
        <v>693</v>
      </c>
      <c r="C729" s="144"/>
      <c r="D729" s="145"/>
      <c r="E729" s="149"/>
      <c r="G729" s="150"/>
      <c r="H729" s="150"/>
      <c r="I729" s="150"/>
      <c r="J729" s="150"/>
    </row>
    <row r="730" spans="2:10" ht="15.75" x14ac:dyDescent="0.25">
      <c r="B730" s="148">
        <v>694</v>
      </c>
      <c r="C730" s="144"/>
      <c r="D730" s="145"/>
      <c r="E730" s="149"/>
      <c r="G730" s="150"/>
      <c r="H730" s="150"/>
      <c r="I730" s="150"/>
      <c r="J730" s="150"/>
    </row>
    <row r="731" spans="2:10" ht="15.75" x14ac:dyDescent="0.25">
      <c r="B731" s="148">
        <v>695</v>
      </c>
      <c r="C731" s="144"/>
      <c r="D731" s="145"/>
      <c r="E731" s="149"/>
      <c r="G731" s="150"/>
      <c r="H731" s="150"/>
      <c r="I731" s="150"/>
      <c r="J731" s="150"/>
    </row>
    <row r="732" spans="2:10" ht="15.75" x14ac:dyDescent="0.25">
      <c r="B732" s="148">
        <v>696</v>
      </c>
      <c r="C732" s="144"/>
      <c r="D732" s="145"/>
      <c r="E732" s="149"/>
      <c r="G732" s="150"/>
      <c r="H732" s="150"/>
      <c r="I732" s="150"/>
      <c r="J732" s="150"/>
    </row>
    <row r="733" spans="2:10" ht="15.75" x14ac:dyDescent="0.25">
      <c r="B733" s="148">
        <v>697</v>
      </c>
      <c r="C733" s="144"/>
      <c r="D733" s="145"/>
      <c r="E733" s="149"/>
      <c r="G733" s="150"/>
      <c r="H733" s="150"/>
      <c r="I733" s="150"/>
      <c r="J733" s="150"/>
    </row>
    <row r="734" spans="2:10" ht="15.75" x14ac:dyDescent="0.25">
      <c r="B734" s="148">
        <v>698</v>
      </c>
      <c r="C734" s="144"/>
      <c r="D734" s="145"/>
      <c r="E734" s="149"/>
      <c r="G734" s="150"/>
      <c r="H734" s="150"/>
      <c r="I734" s="150"/>
      <c r="J734" s="150"/>
    </row>
    <row r="735" spans="2:10" ht="15.75" x14ac:dyDescent="0.25">
      <c r="B735" s="148">
        <v>699</v>
      </c>
      <c r="C735" s="144"/>
      <c r="D735" s="145"/>
      <c r="E735" s="149"/>
      <c r="G735" s="150"/>
      <c r="H735" s="150"/>
      <c r="I735" s="150"/>
      <c r="J735" s="150"/>
    </row>
    <row r="736" spans="2:10" ht="15.75" x14ac:dyDescent="0.25">
      <c r="B736" s="148">
        <v>700</v>
      </c>
      <c r="C736" s="144"/>
      <c r="D736" s="145"/>
      <c r="E736" s="149"/>
      <c r="G736" s="150"/>
      <c r="H736" s="150"/>
      <c r="I736" s="150"/>
      <c r="J736" s="150"/>
    </row>
    <row r="737" spans="2:10" ht="15.75" x14ac:dyDescent="0.25">
      <c r="B737" s="148">
        <v>701</v>
      </c>
      <c r="C737" s="144"/>
      <c r="D737" s="145"/>
      <c r="E737" s="149"/>
      <c r="G737" s="150"/>
      <c r="H737" s="150"/>
      <c r="I737" s="150"/>
      <c r="J737" s="150"/>
    </row>
    <row r="738" spans="2:10" ht="15.75" x14ac:dyDescent="0.25">
      <c r="B738" s="148">
        <v>702</v>
      </c>
      <c r="C738" s="144"/>
      <c r="D738" s="145"/>
      <c r="E738" s="149"/>
      <c r="G738" s="150"/>
      <c r="H738" s="150"/>
      <c r="I738" s="150"/>
      <c r="J738" s="150"/>
    </row>
    <row r="739" spans="2:10" ht="15.75" x14ac:dyDescent="0.25">
      <c r="B739" s="148">
        <v>703</v>
      </c>
      <c r="C739" s="144"/>
      <c r="D739" s="145"/>
      <c r="E739" s="149"/>
      <c r="G739" s="150"/>
      <c r="H739" s="150"/>
      <c r="I739" s="150"/>
      <c r="J739" s="150"/>
    </row>
    <row r="740" spans="2:10" ht="15.75" x14ac:dyDescent="0.25">
      <c r="B740" s="148">
        <v>704</v>
      </c>
      <c r="C740" s="144"/>
      <c r="D740" s="145"/>
      <c r="E740" s="149"/>
      <c r="G740" s="150"/>
      <c r="H740" s="150"/>
      <c r="I740" s="150"/>
      <c r="J740" s="150"/>
    </row>
    <row r="741" spans="2:10" ht="15.75" x14ac:dyDescent="0.25">
      <c r="B741" s="148">
        <v>705</v>
      </c>
      <c r="C741" s="144"/>
      <c r="D741" s="145"/>
      <c r="E741" s="149"/>
      <c r="G741" s="150"/>
      <c r="H741" s="150"/>
      <c r="I741" s="150"/>
      <c r="J741" s="150"/>
    </row>
    <row r="742" spans="2:10" ht="15.75" x14ac:dyDescent="0.25">
      <c r="B742" s="148">
        <v>706</v>
      </c>
      <c r="C742" s="144"/>
      <c r="D742" s="145"/>
      <c r="E742" s="149"/>
      <c r="G742" s="150"/>
      <c r="H742" s="150"/>
      <c r="I742" s="150"/>
      <c r="J742" s="150"/>
    </row>
    <row r="743" spans="2:10" ht="15.75" x14ac:dyDescent="0.25">
      <c r="B743" s="148">
        <v>707</v>
      </c>
      <c r="C743" s="144"/>
      <c r="D743" s="145"/>
      <c r="E743" s="149"/>
      <c r="G743" s="150"/>
      <c r="H743" s="150"/>
      <c r="I743" s="150"/>
      <c r="J743" s="150"/>
    </row>
    <row r="744" spans="2:10" ht="15.75" x14ac:dyDescent="0.25">
      <c r="B744" s="148">
        <v>708</v>
      </c>
      <c r="C744" s="144"/>
      <c r="D744" s="145"/>
      <c r="E744" s="149"/>
      <c r="G744" s="150"/>
      <c r="H744" s="150"/>
      <c r="I744" s="150"/>
      <c r="J744" s="150"/>
    </row>
    <row r="745" spans="2:10" ht="15.75" x14ac:dyDescent="0.25">
      <c r="B745" s="148">
        <v>709</v>
      </c>
      <c r="C745" s="144"/>
      <c r="D745" s="145"/>
      <c r="E745" s="149"/>
      <c r="G745" s="150"/>
      <c r="H745" s="150"/>
      <c r="I745" s="150"/>
      <c r="J745" s="150"/>
    </row>
    <row r="746" spans="2:10" ht="15.75" x14ac:dyDescent="0.25">
      <c r="B746" s="148">
        <v>710</v>
      </c>
      <c r="C746" s="144"/>
      <c r="D746" s="145"/>
      <c r="E746" s="149"/>
      <c r="G746" s="150"/>
      <c r="H746" s="150"/>
      <c r="I746" s="150"/>
      <c r="J746" s="150"/>
    </row>
    <row r="747" spans="2:10" ht="15.75" x14ac:dyDescent="0.25">
      <c r="B747" s="148">
        <v>711</v>
      </c>
      <c r="C747" s="144"/>
      <c r="D747" s="145"/>
      <c r="E747" s="149"/>
      <c r="G747" s="150"/>
      <c r="H747" s="150"/>
      <c r="I747" s="150"/>
      <c r="J747" s="150"/>
    </row>
    <row r="748" spans="2:10" ht="15.75" x14ac:dyDescent="0.25">
      <c r="B748" s="148">
        <v>712</v>
      </c>
      <c r="C748" s="144"/>
      <c r="D748" s="145"/>
      <c r="E748" s="149"/>
      <c r="G748" s="150"/>
      <c r="H748" s="150"/>
      <c r="I748" s="150"/>
      <c r="J748" s="150"/>
    </row>
    <row r="749" spans="2:10" ht="15.75" x14ac:dyDescent="0.25">
      <c r="B749" s="148">
        <v>713</v>
      </c>
      <c r="C749" s="144"/>
      <c r="D749" s="145"/>
      <c r="E749" s="149"/>
      <c r="G749" s="150"/>
      <c r="H749" s="150"/>
      <c r="I749" s="150"/>
      <c r="J749" s="150"/>
    </row>
    <row r="750" spans="2:10" ht="15.75" x14ac:dyDescent="0.25">
      <c r="B750" s="148">
        <v>714</v>
      </c>
      <c r="C750" s="144"/>
      <c r="D750" s="145"/>
      <c r="E750" s="149"/>
      <c r="G750" s="150"/>
      <c r="H750" s="150"/>
      <c r="I750" s="150"/>
      <c r="J750" s="150"/>
    </row>
    <row r="751" spans="2:10" ht="15.75" x14ac:dyDescent="0.25">
      <c r="B751" s="148">
        <v>715</v>
      </c>
      <c r="C751" s="144"/>
      <c r="D751" s="145"/>
      <c r="E751" s="149"/>
      <c r="G751" s="150"/>
      <c r="H751" s="150"/>
      <c r="I751" s="150"/>
      <c r="J751" s="150"/>
    </row>
    <row r="752" spans="2:10" ht="15.75" x14ac:dyDescent="0.25">
      <c r="B752" s="148">
        <v>716</v>
      </c>
      <c r="C752" s="144"/>
      <c r="D752" s="145"/>
      <c r="E752" s="149"/>
      <c r="G752" s="150"/>
      <c r="H752" s="150"/>
      <c r="I752" s="150"/>
      <c r="J752" s="150"/>
    </row>
    <row r="753" spans="2:10" ht="15.75" x14ac:dyDescent="0.25">
      <c r="B753" s="148">
        <v>717</v>
      </c>
      <c r="C753" s="144"/>
      <c r="D753" s="145"/>
      <c r="E753" s="149"/>
      <c r="G753" s="150"/>
      <c r="H753" s="150"/>
      <c r="I753" s="150"/>
      <c r="J753" s="150"/>
    </row>
    <row r="754" spans="2:10" ht="15.75" x14ac:dyDescent="0.25">
      <c r="B754" s="148">
        <v>718</v>
      </c>
      <c r="C754" s="144"/>
      <c r="D754" s="145"/>
      <c r="E754" s="149"/>
      <c r="G754" s="150"/>
      <c r="H754" s="150"/>
      <c r="I754" s="150"/>
      <c r="J754" s="150"/>
    </row>
    <row r="755" spans="2:10" ht="15.75" x14ac:dyDescent="0.25">
      <c r="B755" s="148">
        <v>719</v>
      </c>
      <c r="C755" s="144"/>
      <c r="D755" s="145"/>
      <c r="E755" s="149"/>
      <c r="G755" s="150"/>
      <c r="H755" s="150"/>
      <c r="I755" s="150"/>
      <c r="J755" s="150"/>
    </row>
    <row r="756" spans="2:10" ht="15.75" x14ac:dyDescent="0.25">
      <c r="B756" s="148">
        <v>720</v>
      </c>
      <c r="C756" s="144"/>
      <c r="D756" s="145"/>
      <c r="E756" s="149"/>
      <c r="G756" s="150"/>
      <c r="H756" s="150"/>
      <c r="I756" s="150"/>
      <c r="J756" s="150"/>
    </row>
    <row r="757" spans="2:10" ht="15.75" x14ac:dyDescent="0.25">
      <c r="B757" s="148">
        <v>721</v>
      </c>
      <c r="C757" s="144"/>
      <c r="D757" s="145"/>
      <c r="E757" s="149"/>
      <c r="G757" s="150"/>
      <c r="H757" s="150"/>
      <c r="I757" s="150"/>
      <c r="J757" s="150"/>
    </row>
    <row r="758" spans="2:10" ht="15.75" x14ac:dyDescent="0.25">
      <c r="B758" s="148">
        <v>722</v>
      </c>
      <c r="C758" s="144"/>
      <c r="D758" s="145"/>
      <c r="E758" s="149"/>
      <c r="G758" s="150"/>
      <c r="H758" s="150"/>
      <c r="I758" s="150"/>
      <c r="J758" s="150"/>
    </row>
    <row r="759" spans="2:10" ht="15.75" x14ac:dyDescent="0.25">
      <c r="B759" s="148">
        <v>723</v>
      </c>
      <c r="C759" s="144"/>
      <c r="D759" s="145"/>
      <c r="E759" s="149"/>
      <c r="G759" s="150"/>
      <c r="H759" s="150"/>
      <c r="I759" s="150"/>
      <c r="J759" s="150"/>
    </row>
    <row r="760" spans="2:10" ht="15.75" x14ac:dyDescent="0.25">
      <c r="B760" s="148">
        <v>724</v>
      </c>
      <c r="C760" s="144"/>
      <c r="D760" s="145"/>
      <c r="E760" s="149"/>
      <c r="G760" s="150"/>
      <c r="H760" s="150"/>
      <c r="I760" s="150"/>
      <c r="J760" s="150"/>
    </row>
    <row r="761" spans="2:10" ht="15.75" x14ac:dyDescent="0.25">
      <c r="B761" s="148">
        <v>725</v>
      </c>
      <c r="C761" s="144"/>
      <c r="D761" s="145"/>
      <c r="E761" s="149"/>
      <c r="G761" s="150"/>
      <c r="H761" s="150"/>
      <c r="I761" s="150"/>
      <c r="J761" s="150"/>
    </row>
    <row r="762" spans="2:10" ht="15.75" x14ac:dyDescent="0.25">
      <c r="B762" s="148">
        <v>726</v>
      </c>
      <c r="C762" s="144"/>
      <c r="D762" s="145"/>
      <c r="E762" s="149"/>
      <c r="G762" s="150"/>
      <c r="H762" s="150"/>
      <c r="I762" s="150"/>
      <c r="J762" s="150"/>
    </row>
    <row r="763" spans="2:10" ht="15.75" x14ac:dyDescent="0.25">
      <c r="B763" s="148">
        <v>727</v>
      </c>
      <c r="C763" s="144"/>
      <c r="D763" s="145"/>
      <c r="E763" s="149"/>
      <c r="G763" s="150"/>
      <c r="H763" s="150"/>
      <c r="I763" s="150"/>
      <c r="J763" s="150"/>
    </row>
    <row r="764" spans="2:10" ht="15.75" x14ac:dyDescent="0.25">
      <c r="B764" s="148">
        <v>728</v>
      </c>
      <c r="C764" s="144"/>
      <c r="D764" s="145"/>
      <c r="E764" s="149"/>
      <c r="G764" s="150"/>
      <c r="H764" s="150"/>
      <c r="I764" s="150"/>
      <c r="J764" s="150"/>
    </row>
    <row r="765" spans="2:10" ht="15.75" x14ac:dyDescent="0.25">
      <c r="B765" s="148">
        <v>729</v>
      </c>
      <c r="C765" s="144"/>
      <c r="D765" s="145"/>
      <c r="E765" s="149"/>
      <c r="G765" s="150"/>
      <c r="H765" s="150"/>
      <c r="I765" s="150"/>
      <c r="J765" s="150"/>
    </row>
    <row r="766" spans="2:10" ht="15.75" x14ac:dyDescent="0.25">
      <c r="B766" s="148">
        <v>730</v>
      </c>
      <c r="C766" s="144"/>
      <c r="D766" s="145"/>
      <c r="E766" s="149"/>
      <c r="G766" s="150"/>
      <c r="H766" s="150"/>
      <c r="I766" s="150"/>
      <c r="J766" s="150"/>
    </row>
    <row r="767" spans="2:10" ht="15.75" x14ac:dyDescent="0.25">
      <c r="B767" s="148">
        <v>731</v>
      </c>
      <c r="C767" s="144"/>
      <c r="D767" s="145"/>
      <c r="E767" s="149"/>
      <c r="G767" s="150"/>
      <c r="H767" s="150"/>
      <c r="I767" s="150"/>
      <c r="J767" s="150"/>
    </row>
    <row r="768" spans="2:10" ht="15.75" x14ac:dyDescent="0.25">
      <c r="B768" s="148">
        <v>732</v>
      </c>
      <c r="C768" s="144"/>
      <c r="D768" s="145"/>
      <c r="E768" s="149"/>
      <c r="G768" s="150"/>
      <c r="H768" s="150"/>
      <c r="I768" s="150"/>
      <c r="J768" s="150"/>
    </row>
    <row r="769" spans="2:10" ht="15.75" x14ac:dyDescent="0.25">
      <c r="B769" s="148">
        <v>733</v>
      </c>
      <c r="C769" s="144"/>
      <c r="D769" s="145"/>
      <c r="E769" s="149"/>
      <c r="G769" s="150"/>
      <c r="H769" s="150"/>
      <c r="I769" s="150"/>
      <c r="J769" s="150"/>
    </row>
    <row r="770" spans="2:10" ht="15.75" x14ac:dyDescent="0.25">
      <c r="B770" s="148">
        <v>734</v>
      </c>
      <c r="C770" s="144"/>
      <c r="D770" s="145"/>
      <c r="E770" s="149"/>
      <c r="G770" s="150"/>
      <c r="H770" s="150"/>
      <c r="I770" s="150"/>
      <c r="J770" s="150"/>
    </row>
    <row r="771" spans="2:10" ht="15.75" x14ac:dyDescent="0.25">
      <c r="B771" s="148">
        <v>735</v>
      </c>
      <c r="C771" s="144"/>
      <c r="D771" s="145"/>
      <c r="E771" s="149"/>
      <c r="G771" s="150"/>
      <c r="H771" s="150"/>
      <c r="I771" s="150"/>
      <c r="J771" s="150"/>
    </row>
    <row r="772" spans="2:10" ht="15.75" x14ac:dyDescent="0.25">
      <c r="B772" s="148">
        <v>736</v>
      </c>
      <c r="C772" s="144"/>
      <c r="D772" s="145"/>
      <c r="E772" s="149"/>
      <c r="G772" s="150"/>
      <c r="H772" s="150"/>
      <c r="I772" s="150"/>
      <c r="J772" s="150"/>
    </row>
    <row r="773" spans="2:10" ht="15.75" x14ac:dyDescent="0.25">
      <c r="B773" s="148">
        <v>737</v>
      </c>
      <c r="C773" s="144"/>
      <c r="D773" s="145"/>
      <c r="E773" s="149"/>
      <c r="G773" s="150"/>
      <c r="H773" s="150"/>
      <c r="I773" s="150"/>
      <c r="J773" s="150"/>
    </row>
    <row r="774" spans="2:10" ht="15.75" x14ac:dyDescent="0.25">
      <c r="B774" s="148">
        <v>738</v>
      </c>
      <c r="C774" s="144"/>
      <c r="D774" s="145"/>
      <c r="E774" s="149"/>
      <c r="G774" s="150"/>
      <c r="H774" s="150"/>
      <c r="I774" s="150"/>
      <c r="J774" s="150"/>
    </row>
    <row r="775" spans="2:10" ht="15.75" x14ac:dyDescent="0.25">
      <c r="B775" s="148">
        <v>739</v>
      </c>
      <c r="C775" s="144"/>
      <c r="D775" s="145"/>
      <c r="E775" s="149"/>
      <c r="G775" s="150"/>
      <c r="H775" s="150"/>
      <c r="I775" s="150"/>
      <c r="J775" s="150"/>
    </row>
    <row r="776" spans="2:10" ht="15.75" x14ac:dyDescent="0.25">
      <c r="B776" s="148">
        <v>740</v>
      </c>
      <c r="C776" s="144"/>
      <c r="D776" s="145"/>
      <c r="E776" s="149"/>
      <c r="G776" s="150"/>
      <c r="H776" s="150"/>
      <c r="I776" s="150"/>
      <c r="J776" s="150"/>
    </row>
    <row r="777" spans="2:10" ht="15.75" x14ac:dyDescent="0.25">
      <c r="B777" s="148">
        <v>741</v>
      </c>
      <c r="C777" s="144"/>
      <c r="D777" s="145"/>
      <c r="E777" s="149"/>
      <c r="G777" s="150"/>
      <c r="H777" s="150"/>
      <c r="I777" s="150"/>
      <c r="J777" s="150"/>
    </row>
    <row r="778" spans="2:10" ht="15.75" x14ac:dyDescent="0.25">
      <c r="B778" s="148">
        <v>742</v>
      </c>
      <c r="C778" s="144"/>
      <c r="D778" s="145"/>
      <c r="E778" s="149"/>
      <c r="G778" s="150"/>
      <c r="H778" s="150"/>
      <c r="I778" s="150"/>
      <c r="J778" s="150"/>
    </row>
    <row r="779" spans="2:10" ht="15.75" x14ac:dyDescent="0.25">
      <c r="B779" s="148">
        <v>743</v>
      </c>
      <c r="C779" s="144"/>
      <c r="D779" s="145"/>
      <c r="E779" s="149"/>
      <c r="G779" s="150"/>
      <c r="H779" s="150"/>
      <c r="I779" s="150"/>
      <c r="J779" s="150"/>
    </row>
    <row r="780" spans="2:10" ht="15.75" x14ac:dyDescent="0.25">
      <c r="B780" s="148">
        <v>744</v>
      </c>
      <c r="C780" s="144"/>
      <c r="D780" s="145"/>
      <c r="E780" s="149"/>
      <c r="G780" s="150"/>
      <c r="H780" s="150"/>
      <c r="I780" s="150"/>
      <c r="J780" s="150"/>
    </row>
    <row r="781" spans="2:10" ht="15.75" x14ac:dyDescent="0.25">
      <c r="B781" s="148">
        <v>745</v>
      </c>
      <c r="C781" s="144"/>
      <c r="D781" s="145"/>
      <c r="E781" s="149"/>
      <c r="G781" s="150"/>
      <c r="H781" s="150"/>
      <c r="I781" s="150"/>
      <c r="J781" s="150"/>
    </row>
    <row r="782" spans="2:10" ht="15.75" x14ac:dyDescent="0.25">
      <c r="B782" s="148">
        <v>746</v>
      </c>
      <c r="C782" s="144"/>
      <c r="D782" s="145"/>
      <c r="E782" s="149"/>
      <c r="G782" s="150"/>
      <c r="H782" s="150"/>
      <c r="I782" s="150"/>
      <c r="J782" s="150"/>
    </row>
    <row r="783" spans="2:10" ht="15.75" x14ac:dyDescent="0.25">
      <c r="B783" s="148">
        <v>747</v>
      </c>
      <c r="C783" s="144"/>
      <c r="D783" s="145"/>
      <c r="E783" s="149"/>
      <c r="G783" s="150"/>
      <c r="H783" s="150"/>
      <c r="I783" s="150"/>
      <c r="J783" s="150"/>
    </row>
    <row r="784" spans="2:10" ht="15.75" x14ac:dyDescent="0.25">
      <c r="B784" s="148">
        <v>748</v>
      </c>
      <c r="C784" s="144"/>
      <c r="D784" s="145"/>
      <c r="E784" s="149"/>
      <c r="G784" s="150"/>
      <c r="H784" s="150"/>
      <c r="I784" s="150"/>
      <c r="J784" s="150"/>
    </row>
    <row r="785" spans="2:10" ht="15.75" x14ac:dyDescent="0.25">
      <c r="B785" s="148">
        <v>749</v>
      </c>
      <c r="C785" s="144"/>
      <c r="D785" s="145"/>
      <c r="E785" s="149"/>
      <c r="G785" s="150"/>
      <c r="H785" s="150"/>
      <c r="I785" s="150"/>
      <c r="J785" s="150"/>
    </row>
    <row r="786" spans="2:10" ht="15.75" x14ac:dyDescent="0.25">
      <c r="B786" s="148">
        <v>750</v>
      </c>
      <c r="C786" s="144"/>
      <c r="D786" s="145"/>
      <c r="E786" s="149"/>
      <c r="G786" s="150"/>
      <c r="H786" s="150"/>
      <c r="I786" s="150"/>
      <c r="J786" s="150"/>
    </row>
    <row r="787" spans="2:10" ht="15.75" x14ac:dyDescent="0.25">
      <c r="B787" s="148">
        <v>751</v>
      </c>
      <c r="C787" s="144"/>
      <c r="D787" s="145"/>
      <c r="E787" s="149"/>
      <c r="G787" s="150"/>
      <c r="H787" s="150"/>
      <c r="I787" s="150"/>
      <c r="J787" s="150"/>
    </row>
    <row r="788" spans="2:10" ht="15.75" x14ac:dyDescent="0.25">
      <c r="B788" s="148">
        <v>752</v>
      </c>
      <c r="C788" s="144"/>
      <c r="D788" s="145"/>
      <c r="E788" s="149"/>
      <c r="G788" s="150"/>
      <c r="H788" s="150"/>
      <c r="I788" s="150"/>
      <c r="J788" s="150"/>
    </row>
    <row r="789" spans="2:10" ht="15.75" x14ac:dyDescent="0.25">
      <c r="B789" s="148">
        <v>753</v>
      </c>
      <c r="C789" s="144"/>
      <c r="D789" s="145"/>
      <c r="E789" s="149"/>
      <c r="G789" s="150"/>
      <c r="H789" s="150"/>
      <c r="I789" s="150"/>
      <c r="J789" s="150"/>
    </row>
    <row r="790" spans="2:10" ht="15.75" x14ac:dyDescent="0.25">
      <c r="B790" s="148">
        <v>754</v>
      </c>
      <c r="C790" s="144"/>
      <c r="D790" s="145"/>
      <c r="E790" s="149"/>
      <c r="G790" s="150"/>
      <c r="H790" s="150"/>
      <c r="I790" s="150"/>
      <c r="J790" s="150"/>
    </row>
    <row r="791" spans="2:10" ht="15.75" x14ac:dyDescent="0.25">
      <c r="B791" s="148">
        <v>755</v>
      </c>
      <c r="C791" s="144"/>
      <c r="D791" s="145"/>
      <c r="E791" s="149"/>
      <c r="G791" s="150"/>
      <c r="H791" s="150"/>
      <c r="I791" s="150"/>
      <c r="J791" s="150"/>
    </row>
    <row r="792" spans="2:10" ht="15.75" x14ac:dyDescent="0.25">
      <c r="B792" s="148">
        <v>756</v>
      </c>
      <c r="C792" s="144"/>
      <c r="D792" s="145"/>
      <c r="E792" s="149"/>
      <c r="G792" s="150"/>
      <c r="H792" s="150"/>
      <c r="I792" s="150"/>
      <c r="J792" s="150"/>
    </row>
    <row r="793" spans="2:10" ht="15.75" x14ac:dyDescent="0.25">
      <c r="B793" s="148">
        <v>757</v>
      </c>
      <c r="C793" s="144"/>
      <c r="D793" s="145"/>
      <c r="E793" s="149"/>
      <c r="G793" s="150"/>
      <c r="H793" s="150"/>
      <c r="I793" s="150"/>
      <c r="J793" s="150"/>
    </row>
    <row r="794" spans="2:10" ht="15.75" x14ac:dyDescent="0.25">
      <c r="B794" s="148">
        <v>758</v>
      </c>
      <c r="C794" s="144"/>
      <c r="D794" s="145"/>
      <c r="E794" s="149"/>
      <c r="G794" s="150"/>
      <c r="H794" s="150"/>
      <c r="I794" s="150"/>
      <c r="J794" s="150"/>
    </row>
    <row r="795" spans="2:10" ht="15.75" x14ac:dyDescent="0.25">
      <c r="B795" s="148">
        <v>759</v>
      </c>
      <c r="C795" s="144"/>
      <c r="D795" s="145"/>
      <c r="E795" s="149"/>
      <c r="G795" s="150"/>
      <c r="H795" s="150"/>
      <c r="I795" s="150"/>
      <c r="J795" s="150"/>
    </row>
    <row r="796" spans="2:10" ht="15.75" x14ac:dyDescent="0.25">
      <c r="B796" s="148">
        <v>760</v>
      </c>
      <c r="C796" s="144"/>
      <c r="D796" s="145"/>
      <c r="E796" s="149"/>
      <c r="G796" s="150"/>
      <c r="H796" s="150"/>
      <c r="I796" s="150"/>
      <c r="J796" s="150"/>
    </row>
    <row r="797" spans="2:10" ht="15.75" x14ac:dyDescent="0.25">
      <c r="B797" s="148">
        <v>761</v>
      </c>
      <c r="C797" s="144"/>
      <c r="D797" s="145"/>
      <c r="E797" s="149"/>
      <c r="G797" s="150"/>
      <c r="H797" s="150"/>
      <c r="I797" s="150"/>
      <c r="J797" s="150"/>
    </row>
    <row r="798" spans="2:10" ht="15.75" x14ac:dyDescent="0.25">
      <c r="B798" s="148">
        <v>762</v>
      </c>
      <c r="C798" s="144"/>
      <c r="D798" s="145"/>
      <c r="E798" s="149"/>
      <c r="G798" s="150"/>
      <c r="H798" s="150"/>
      <c r="I798" s="150"/>
      <c r="J798" s="150"/>
    </row>
    <row r="799" spans="2:10" ht="15.75" x14ac:dyDescent="0.25">
      <c r="B799" s="148">
        <v>763</v>
      </c>
      <c r="C799" s="144"/>
      <c r="D799" s="145"/>
      <c r="E799" s="149"/>
      <c r="G799" s="150"/>
      <c r="H799" s="150"/>
      <c r="I799" s="150"/>
      <c r="J799" s="150"/>
    </row>
    <row r="800" spans="2:10" ht="15.75" x14ac:dyDescent="0.25">
      <c r="B800" s="148">
        <v>764</v>
      </c>
      <c r="C800" s="144"/>
      <c r="D800" s="145"/>
      <c r="E800" s="149"/>
      <c r="G800" s="150"/>
      <c r="H800" s="150"/>
      <c r="I800" s="150"/>
      <c r="J800" s="150"/>
    </row>
    <row r="801" spans="2:10" ht="15.75" x14ac:dyDescent="0.25">
      <c r="B801" s="148">
        <v>765</v>
      </c>
      <c r="C801" s="144"/>
      <c r="D801" s="145"/>
      <c r="E801" s="149"/>
      <c r="G801" s="150"/>
      <c r="H801" s="150"/>
      <c r="I801" s="150"/>
      <c r="J801" s="150"/>
    </row>
    <row r="802" spans="2:10" ht="15.75" x14ac:dyDescent="0.25">
      <c r="B802" s="148">
        <v>766</v>
      </c>
      <c r="C802" s="144"/>
      <c r="D802" s="145"/>
      <c r="E802" s="149"/>
      <c r="G802" s="150"/>
      <c r="H802" s="150"/>
      <c r="I802" s="150"/>
      <c r="J802" s="150"/>
    </row>
    <row r="803" spans="2:10" ht="15.75" x14ac:dyDescent="0.25">
      <c r="B803" s="148">
        <v>767</v>
      </c>
      <c r="C803" s="144"/>
      <c r="D803" s="145"/>
      <c r="E803" s="149"/>
      <c r="G803" s="150"/>
      <c r="H803" s="150"/>
      <c r="I803" s="150"/>
      <c r="J803" s="150"/>
    </row>
    <row r="804" spans="2:10" ht="15.75" x14ac:dyDescent="0.25">
      <c r="B804" s="148">
        <v>768</v>
      </c>
      <c r="C804" s="144"/>
      <c r="D804" s="145"/>
      <c r="E804" s="149"/>
      <c r="G804" s="150"/>
      <c r="H804" s="150"/>
      <c r="I804" s="150"/>
      <c r="J804" s="150"/>
    </row>
    <row r="805" spans="2:10" ht="15.75" x14ac:dyDescent="0.25">
      <c r="B805" s="148">
        <v>769</v>
      </c>
      <c r="C805" s="144"/>
      <c r="D805" s="145"/>
      <c r="E805" s="149"/>
      <c r="G805" s="150"/>
      <c r="H805" s="150"/>
      <c r="I805" s="150"/>
      <c r="J805" s="150"/>
    </row>
    <row r="806" spans="2:10" ht="15.75" x14ac:dyDescent="0.25">
      <c r="B806" s="148">
        <v>770</v>
      </c>
      <c r="C806" s="144"/>
      <c r="D806" s="145"/>
      <c r="E806" s="149"/>
      <c r="G806" s="150"/>
      <c r="H806" s="150"/>
      <c r="I806" s="150"/>
      <c r="J806" s="150"/>
    </row>
    <row r="807" spans="2:10" ht="15.75" x14ac:dyDescent="0.25">
      <c r="B807" s="148">
        <v>771</v>
      </c>
      <c r="C807" s="144"/>
      <c r="D807" s="145"/>
      <c r="E807" s="149"/>
      <c r="G807" s="150"/>
      <c r="H807" s="150"/>
      <c r="I807" s="150"/>
      <c r="J807" s="150"/>
    </row>
    <row r="808" spans="2:10" ht="15.75" x14ac:dyDescent="0.25">
      <c r="B808" s="148">
        <v>772</v>
      </c>
      <c r="C808" s="144"/>
      <c r="D808" s="145"/>
      <c r="E808" s="149"/>
      <c r="G808" s="150"/>
      <c r="H808" s="150"/>
      <c r="I808" s="150"/>
      <c r="J808" s="150"/>
    </row>
    <row r="809" spans="2:10" ht="15.75" x14ac:dyDescent="0.25">
      <c r="B809" s="148">
        <v>773</v>
      </c>
      <c r="C809" s="144"/>
      <c r="D809" s="145"/>
      <c r="E809" s="149"/>
      <c r="G809" s="150"/>
      <c r="H809" s="150"/>
      <c r="I809" s="150"/>
      <c r="J809" s="150"/>
    </row>
    <row r="810" spans="2:10" ht="15.75" x14ac:dyDescent="0.25">
      <c r="B810" s="148">
        <v>774</v>
      </c>
      <c r="C810" s="144"/>
      <c r="D810" s="145"/>
      <c r="E810" s="149"/>
      <c r="G810" s="150"/>
      <c r="H810" s="150"/>
      <c r="I810" s="150"/>
      <c r="J810" s="150"/>
    </row>
    <row r="811" spans="2:10" ht="15.75" x14ac:dyDescent="0.25">
      <c r="B811" s="148">
        <v>775</v>
      </c>
      <c r="C811" s="144"/>
      <c r="D811" s="145"/>
      <c r="E811" s="149"/>
      <c r="G811" s="150"/>
      <c r="H811" s="150"/>
      <c r="I811" s="150"/>
      <c r="J811" s="150"/>
    </row>
    <row r="812" spans="2:10" ht="15.75" x14ac:dyDescent="0.25">
      <c r="B812" s="148">
        <v>776</v>
      </c>
      <c r="C812" s="144"/>
      <c r="D812" s="145"/>
      <c r="E812" s="149"/>
      <c r="G812" s="150"/>
      <c r="H812" s="150"/>
      <c r="I812" s="150"/>
      <c r="J812" s="150"/>
    </row>
    <row r="813" spans="2:10" ht="15.75" x14ac:dyDescent="0.25">
      <c r="B813" s="148">
        <v>777</v>
      </c>
      <c r="C813" s="144"/>
      <c r="D813" s="145"/>
      <c r="E813" s="149"/>
      <c r="G813" s="150"/>
      <c r="H813" s="150"/>
      <c r="I813" s="150"/>
      <c r="J813" s="150"/>
    </row>
    <row r="814" spans="2:10" ht="15.75" x14ac:dyDescent="0.25">
      <c r="B814" s="148">
        <v>778</v>
      </c>
      <c r="C814" s="144"/>
      <c r="D814" s="145"/>
      <c r="E814" s="149"/>
      <c r="G814" s="150"/>
      <c r="H814" s="150"/>
      <c r="I814" s="150"/>
      <c r="J814" s="150"/>
    </row>
    <row r="815" spans="2:10" ht="15.75" x14ac:dyDescent="0.25">
      <c r="B815" s="148">
        <v>779</v>
      </c>
      <c r="C815" s="144"/>
      <c r="D815" s="145"/>
      <c r="E815" s="149"/>
      <c r="G815" s="150"/>
      <c r="H815" s="150"/>
      <c r="I815" s="150"/>
      <c r="J815" s="150"/>
    </row>
    <row r="816" spans="2:10" ht="15.75" x14ac:dyDescent="0.25">
      <c r="B816" s="148">
        <v>780</v>
      </c>
      <c r="C816" s="144"/>
      <c r="D816" s="145"/>
      <c r="E816" s="149"/>
      <c r="G816" s="150"/>
      <c r="H816" s="150"/>
      <c r="I816" s="150"/>
      <c r="J816" s="150"/>
    </row>
    <row r="817" spans="2:10" ht="15.75" x14ac:dyDescent="0.25">
      <c r="B817" s="148">
        <v>781</v>
      </c>
      <c r="C817" s="144"/>
      <c r="D817" s="145"/>
      <c r="E817" s="149"/>
      <c r="G817" s="150"/>
      <c r="H817" s="150"/>
      <c r="I817" s="150"/>
      <c r="J817" s="150"/>
    </row>
    <row r="818" spans="2:10" ht="15.75" x14ac:dyDescent="0.25">
      <c r="B818" s="148">
        <v>782</v>
      </c>
      <c r="C818" s="144"/>
      <c r="D818" s="145"/>
      <c r="E818" s="149"/>
      <c r="G818" s="150"/>
      <c r="H818" s="150"/>
      <c r="I818" s="150"/>
      <c r="J818" s="150"/>
    </row>
    <row r="819" spans="2:10" ht="15.75" x14ac:dyDescent="0.25">
      <c r="B819" s="148">
        <v>783</v>
      </c>
      <c r="C819" s="144"/>
      <c r="D819" s="145"/>
      <c r="E819" s="149"/>
      <c r="G819" s="150"/>
      <c r="H819" s="150"/>
      <c r="I819" s="150"/>
      <c r="J819" s="150"/>
    </row>
    <row r="820" spans="2:10" ht="15.75" x14ac:dyDescent="0.25">
      <c r="B820" s="148">
        <v>784</v>
      </c>
      <c r="C820" s="144"/>
      <c r="D820" s="145"/>
      <c r="E820" s="149"/>
      <c r="G820" s="150"/>
      <c r="H820" s="150"/>
      <c r="I820" s="150"/>
      <c r="J820" s="150"/>
    </row>
    <row r="821" spans="2:10" ht="15.75" x14ac:dyDescent="0.25">
      <c r="B821" s="148">
        <v>785</v>
      </c>
      <c r="C821" s="144"/>
      <c r="D821" s="145"/>
      <c r="E821" s="149"/>
      <c r="G821" s="150"/>
      <c r="H821" s="150"/>
      <c r="I821" s="150"/>
      <c r="J821" s="150"/>
    </row>
    <row r="822" spans="2:10" ht="15.75" x14ac:dyDescent="0.25">
      <c r="B822" s="148">
        <v>786</v>
      </c>
      <c r="C822" s="144"/>
      <c r="D822" s="145"/>
      <c r="E822" s="149"/>
      <c r="G822" s="150"/>
      <c r="H822" s="150"/>
      <c r="I822" s="150"/>
      <c r="J822" s="150"/>
    </row>
    <row r="823" spans="2:10" ht="15.75" x14ac:dyDescent="0.25">
      <c r="B823" s="148">
        <v>787</v>
      </c>
      <c r="C823" s="144"/>
      <c r="D823" s="145"/>
      <c r="E823" s="149"/>
      <c r="G823" s="150"/>
      <c r="H823" s="150"/>
      <c r="I823" s="150"/>
      <c r="J823" s="150"/>
    </row>
    <row r="824" spans="2:10" ht="15.75" x14ac:dyDescent="0.25">
      <c r="B824" s="148">
        <v>788</v>
      </c>
      <c r="C824" s="144"/>
      <c r="D824" s="145"/>
      <c r="E824" s="149"/>
      <c r="G824" s="150"/>
      <c r="H824" s="150"/>
      <c r="I824" s="150"/>
      <c r="J824" s="150"/>
    </row>
    <row r="825" spans="2:10" ht="15.75" x14ac:dyDescent="0.25">
      <c r="B825" s="148">
        <v>789</v>
      </c>
      <c r="C825" s="144"/>
      <c r="D825" s="145"/>
      <c r="E825" s="149"/>
      <c r="G825" s="150"/>
      <c r="H825" s="150"/>
      <c r="I825" s="150"/>
      <c r="J825" s="150"/>
    </row>
    <row r="826" spans="2:10" ht="15.75" x14ac:dyDescent="0.25">
      <c r="B826" s="148">
        <v>790</v>
      </c>
      <c r="C826" s="144"/>
      <c r="D826" s="145"/>
      <c r="E826" s="149"/>
      <c r="G826" s="150"/>
      <c r="H826" s="150"/>
      <c r="I826" s="150"/>
      <c r="J826" s="150"/>
    </row>
    <row r="827" spans="2:10" ht="15.75" x14ac:dyDescent="0.25">
      <c r="B827" s="148">
        <v>791</v>
      </c>
      <c r="C827" s="144"/>
      <c r="D827" s="145"/>
      <c r="E827" s="149"/>
      <c r="G827" s="150"/>
      <c r="H827" s="150"/>
      <c r="I827" s="150"/>
      <c r="J827" s="150"/>
    </row>
    <row r="828" spans="2:10" ht="15.75" x14ac:dyDescent="0.25">
      <c r="B828" s="148">
        <v>792</v>
      </c>
      <c r="C828" s="144"/>
      <c r="D828" s="145"/>
      <c r="E828" s="149"/>
      <c r="G828" s="150"/>
      <c r="H828" s="150"/>
      <c r="I828" s="150"/>
      <c r="J828" s="150"/>
    </row>
    <row r="829" spans="2:10" ht="15.75" x14ac:dyDescent="0.25">
      <c r="B829" s="148">
        <v>793</v>
      </c>
      <c r="C829" s="144"/>
      <c r="D829" s="145"/>
      <c r="E829" s="149"/>
      <c r="G829" s="150"/>
      <c r="H829" s="150"/>
      <c r="I829" s="150"/>
      <c r="J829" s="150"/>
    </row>
    <row r="830" spans="2:10" ht="15.75" x14ac:dyDescent="0.25">
      <c r="B830" s="148">
        <v>794</v>
      </c>
      <c r="C830" s="144"/>
      <c r="D830" s="145"/>
      <c r="E830" s="149"/>
      <c r="G830" s="150"/>
      <c r="H830" s="150"/>
      <c r="I830" s="150"/>
      <c r="J830" s="150"/>
    </row>
    <row r="831" spans="2:10" ht="15.75" x14ac:dyDescent="0.25">
      <c r="B831" s="148">
        <v>795</v>
      </c>
      <c r="C831" s="144"/>
      <c r="D831" s="145"/>
      <c r="E831" s="149"/>
      <c r="G831" s="150"/>
      <c r="H831" s="150"/>
      <c r="I831" s="150"/>
      <c r="J831" s="150"/>
    </row>
    <row r="832" spans="2:10" ht="15.75" x14ac:dyDescent="0.25">
      <c r="B832" s="148">
        <v>796</v>
      </c>
      <c r="C832" s="144"/>
      <c r="D832" s="145"/>
      <c r="E832" s="149"/>
      <c r="G832" s="150"/>
      <c r="H832" s="150"/>
      <c r="I832" s="150"/>
      <c r="J832" s="150"/>
    </row>
    <row r="833" spans="2:10" ht="15.75" x14ac:dyDescent="0.25">
      <c r="B833" s="148">
        <v>797</v>
      </c>
      <c r="C833" s="144"/>
      <c r="D833" s="145"/>
      <c r="E833" s="149"/>
      <c r="G833" s="150"/>
      <c r="H833" s="150"/>
      <c r="I833" s="150"/>
      <c r="J833" s="150"/>
    </row>
    <row r="834" spans="2:10" ht="15.75" x14ac:dyDescent="0.25">
      <c r="B834" s="148">
        <v>798</v>
      </c>
      <c r="C834" s="144"/>
      <c r="D834" s="145"/>
      <c r="E834" s="149"/>
      <c r="G834" s="150"/>
      <c r="H834" s="150"/>
      <c r="I834" s="150"/>
      <c r="J834" s="150"/>
    </row>
    <row r="835" spans="2:10" ht="15.75" x14ac:dyDescent="0.25">
      <c r="B835" s="148">
        <v>799</v>
      </c>
      <c r="C835" s="144"/>
      <c r="D835" s="145"/>
      <c r="E835" s="149"/>
      <c r="G835" s="150"/>
      <c r="H835" s="150"/>
      <c r="I835" s="150"/>
      <c r="J835" s="150"/>
    </row>
    <row r="836" spans="2:10" ht="15.75" x14ac:dyDescent="0.25">
      <c r="B836" s="148">
        <v>800</v>
      </c>
      <c r="C836" s="144"/>
      <c r="D836" s="145"/>
      <c r="E836" s="149"/>
      <c r="G836" s="150"/>
      <c r="H836" s="150"/>
      <c r="I836" s="150"/>
      <c r="J836" s="150"/>
    </row>
    <row r="837" spans="2:10" ht="15.75" x14ac:dyDescent="0.25">
      <c r="B837" s="148">
        <v>801</v>
      </c>
      <c r="C837" s="144"/>
      <c r="D837" s="145"/>
      <c r="E837" s="149"/>
      <c r="G837" s="150"/>
      <c r="H837" s="150"/>
      <c r="I837" s="150"/>
      <c r="J837" s="150"/>
    </row>
    <row r="838" spans="2:10" ht="15.75" x14ac:dyDescent="0.25">
      <c r="B838" s="148">
        <v>802</v>
      </c>
      <c r="C838" s="144"/>
      <c r="D838" s="145"/>
      <c r="E838" s="149"/>
      <c r="G838" s="150"/>
      <c r="H838" s="150"/>
      <c r="I838" s="150"/>
      <c r="J838" s="150"/>
    </row>
    <row r="839" spans="2:10" ht="15.75" x14ac:dyDescent="0.25">
      <c r="B839" s="148">
        <v>803</v>
      </c>
      <c r="C839" s="144"/>
      <c r="D839" s="145"/>
      <c r="E839" s="149"/>
      <c r="G839" s="150"/>
      <c r="H839" s="150"/>
      <c r="I839" s="150"/>
      <c r="J839" s="150"/>
    </row>
    <row r="840" spans="2:10" ht="15.75" x14ac:dyDescent="0.25">
      <c r="B840" s="148">
        <v>804</v>
      </c>
      <c r="C840" s="144"/>
      <c r="D840" s="145"/>
      <c r="E840" s="149"/>
      <c r="G840" s="150"/>
      <c r="H840" s="150"/>
      <c r="I840" s="150"/>
      <c r="J840" s="150"/>
    </row>
    <row r="841" spans="2:10" ht="15.75" x14ac:dyDescent="0.25">
      <c r="B841" s="148">
        <v>805</v>
      </c>
      <c r="C841" s="144"/>
      <c r="D841" s="145"/>
      <c r="E841" s="149"/>
      <c r="G841" s="150"/>
      <c r="H841" s="150"/>
      <c r="I841" s="150"/>
      <c r="J841" s="150"/>
    </row>
    <row r="842" spans="2:10" ht="15.75" x14ac:dyDescent="0.25">
      <c r="B842" s="148">
        <v>806</v>
      </c>
      <c r="C842" s="144"/>
      <c r="D842" s="145"/>
      <c r="E842" s="149"/>
      <c r="G842" s="150"/>
      <c r="H842" s="150"/>
      <c r="I842" s="150"/>
      <c r="J842" s="150"/>
    </row>
    <row r="843" spans="2:10" ht="15.75" x14ac:dyDescent="0.25">
      <c r="B843" s="148">
        <v>807</v>
      </c>
      <c r="C843" s="144"/>
      <c r="D843" s="145"/>
      <c r="E843" s="149"/>
      <c r="G843" s="150"/>
      <c r="H843" s="150"/>
      <c r="I843" s="150"/>
      <c r="J843" s="150"/>
    </row>
    <row r="844" spans="2:10" ht="15.75" x14ac:dyDescent="0.25">
      <c r="B844" s="148">
        <v>808</v>
      </c>
      <c r="C844" s="144"/>
      <c r="D844" s="145"/>
      <c r="E844" s="149"/>
      <c r="G844" s="150"/>
      <c r="H844" s="150"/>
      <c r="I844" s="150"/>
      <c r="J844" s="150"/>
    </row>
    <row r="845" spans="2:10" ht="15.75" x14ac:dyDescent="0.25">
      <c r="B845" s="148">
        <v>809</v>
      </c>
      <c r="C845" s="144"/>
      <c r="D845" s="145"/>
      <c r="E845" s="149"/>
      <c r="G845" s="150"/>
      <c r="H845" s="150"/>
      <c r="I845" s="150"/>
      <c r="J845" s="150"/>
    </row>
    <row r="846" spans="2:10" ht="15.75" x14ac:dyDescent="0.25">
      <c r="B846" s="148">
        <v>810</v>
      </c>
      <c r="C846" s="144"/>
      <c r="D846" s="145"/>
      <c r="E846" s="149"/>
      <c r="G846" s="150"/>
      <c r="H846" s="150"/>
      <c r="I846" s="150"/>
      <c r="J846" s="150"/>
    </row>
    <row r="847" spans="2:10" ht="15.75" x14ac:dyDescent="0.25">
      <c r="B847" s="148">
        <v>811</v>
      </c>
      <c r="C847" s="144"/>
      <c r="D847" s="145"/>
      <c r="E847" s="149"/>
      <c r="G847" s="150"/>
      <c r="H847" s="150"/>
      <c r="I847" s="150"/>
      <c r="J847" s="150"/>
    </row>
    <row r="848" spans="2:10" ht="15.75" x14ac:dyDescent="0.25">
      <c r="B848" s="148">
        <v>812</v>
      </c>
      <c r="C848" s="144"/>
      <c r="D848" s="145"/>
      <c r="E848" s="149"/>
      <c r="G848" s="150"/>
      <c r="H848" s="150"/>
      <c r="I848" s="150"/>
      <c r="J848" s="150"/>
    </row>
    <row r="849" spans="2:10" ht="15.75" x14ac:dyDescent="0.25">
      <c r="B849" s="148">
        <v>813</v>
      </c>
      <c r="C849" s="144"/>
      <c r="D849" s="145"/>
      <c r="E849" s="149"/>
      <c r="G849" s="150"/>
      <c r="H849" s="150"/>
      <c r="I849" s="150"/>
      <c r="J849" s="150"/>
    </row>
    <row r="850" spans="2:10" ht="15.75" x14ac:dyDescent="0.25">
      <c r="B850" s="148">
        <v>814</v>
      </c>
      <c r="C850" s="144"/>
      <c r="D850" s="145"/>
      <c r="E850" s="149"/>
      <c r="G850" s="150"/>
      <c r="H850" s="150"/>
      <c r="I850" s="150"/>
      <c r="J850" s="150"/>
    </row>
    <row r="851" spans="2:10" ht="15.75" x14ac:dyDescent="0.25">
      <c r="B851" s="148">
        <v>815</v>
      </c>
      <c r="C851" s="144"/>
      <c r="D851" s="145"/>
      <c r="E851" s="149"/>
      <c r="G851" s="150"/>
      <c r="H851" s="150"/>
      <c r="I851" s="150"/>
      <c r="J851" s="150"/>
    </row>
    <row r="852" spans="2:10" ht="15.75" x14ac:dyDescent="0.25">
      <c r="B852" s="148">
        <v>816</v>
      </c>
      <c r="C852" s="144"/>
      <c r="D852" s="145"/>
      <c r="E852" s="149"/>
      <c r="G852" s="150"/>
      <c r="H852" s="150"/>
      <c r="I852" s="150"/>
      <c r="J852" s="150"/>
    </row>
    <row r="853" spans="2:10" ht="15.75" x14ac:dyDescent="0.25">
      <c r="B853" s="148">
        <v>817</v>
      </c>
      <c r="C853" s="144"/>
      <c r="D853" s="145"/>
      <c r="E853" s="149"/>
      <c r="G853" s="150"/>
      <c r="H853" s="150"/>
      <c r="I853" s="150"/>
      <c r="J853" s="150"/>
    </row>
    <row r="854" spans="2:10" ht="15.75" x14ac:dyDescent="0.25">
      <c r="B854" s="148">
        <v>818</v>
      </c>
      <c r="C854" s="144"/>
      <c r="D854" s="145"/>
      <c r="E854" s="149"/>
      <c r="G854" s="150"/>
      <c r="H854" s="150"/>
      <c r="I854" s="150"/>
      <c r="J854" s="150"/>
    </row>
    <row r="855" spans="2:10" ht="15.75" x14ac:dyDescent="0.25">
      <c r="B855" s="148">
        <v>819</v>
      </c>
      <c r="C855" s="144"/>
      <c r="D855" s="145"/>
      <c r="E855" s="149"/>
      <c r="G855" s="150"/>
      <c r="H855" s="150"/>
      <c r="I855" s="150"/>
      <c r="J855" s="150"/>
    </row>
    <row r="856" spans="2:10" ht="15.75" x14ac:dyDescent="0.25">
      <c r="B856" s="148">
        <v>820</v>
      </c>
      <c r="C856" s="144"/>
      <c r="D856" s="145"/>
      <c r="E856" s="149"/>
      <c r="G856" s="150"/>
      <c r="H856" s="150"/>
      <c r="I856" s="150"/>
      <c r="J856" s="150"/>
    </row>
    <row r="857" spans="2:10" ht="15.75" x14ac:dyDescent="0.25">
      <c r="B857" s="148">
        <v>821</v>
      </c>
      <c r="C857" s="144"/>
      <c r="D857" s="145"/>
      <c r="E857" s="149"/>
      <c r="G857" s="150"/>
      <c r="H857" s="150"/>
      <c r="I857" s="150"/>
      <c r="J857" s="150"/>
    </row>
    <row r="858" spans="2:10" ht="15.75" x14ac:dyDescent="0.25">
      <c r="B858" s="148">
        <v>822</v>
      </c>
      <c r="C858" s="144"/>
      <c r="D858" s="145"/>
      <c r="E858" s="149"/>
      <c r="G858" s="150"/>
      <c r="H858" s="150"/>
      <c r="I858" s="150"/>
      <c r="J858" s="150"/>
    </row>
    <row r="859" spans="2:10" ht="15.75" x14ac:dyDescent="0.25">
      <c r="B859" s="148">
        <v>823</v>
      </c>
      <c r="C859" s="144"/>
      <c r="D859" s="145"/>
      <c r="E859" s="149"/>
      <c r="G859" s="150"/>
      <c r="H859" s="150"/>
      <c r="I859" s="150"/>
      <c r="J859" s="150"/>
    </row>
    <row r="860" spans="2:10" ht="15.75" x14ac:dyDescent="0.25">
      <c r="B860" s="148">
        <v>824</v>
      </c>
      <c r="C860" s="144"/>
      <c r="D860" s="145"/>
      <c r="E860" s="149"/>
      <c r="G860" s="150"/>
      <c r="H860" s="150"/>
      <c r="I860" s="150"/>
      <c r="J860" s="150"/>
    </row>
    <row r="861" spans="2:10" ht="15.75" x14ac:dyDescent="0.25">
      <c r="B861" s="148">
        <v>825</v>
      </c>
      <c r="C861" s="144"/>
      <c r="D861" s="145"/>
      <c r="E861" s="149"/>
      <c r="G861" s="150"/>
      <c r="H861" s="150"/>
      <c r="I861" s="150"/>
      <c r="J861" s="150"/>
    </row>
    <row r="862" spans="2:10" ht="15.75" x14ac:dyDescent="0.25">
      <c r="B862" s="148">
        <v>826</v>
      </c>
      <c r="C862" s="144"/>
      <c r="D862" s="145"/>
      <c r="E862" s="149"/>
      <c r="G862" s="150"/>
      <c r="H862" s="150"/>
      <c r="I862" s="150"/>
      <c r="J862" s="150"/>
    </row>
    <row r="863" spans="2:10" ht="15.75" x14ac:dyDescent="0.25">
      <c r="B863" s="148">
        <v>827</v>
      </c>
      <c r="C863" s="144"/>
      <c r="D863" s="145"/>
      <c r="E863" s="149"/>
      <c r="G863" s="150"/>
      <c r="H863" s="150"/>
      <c r="I863" s="150"/>
      <c r="J863" s="150"/>
    </row>
    <row r="864" spans="2:10" ht="15.75" x14ac:dyDescent="0.25">
      <c r="B864" s="148">
        <v>828</v>
      </c>
      <c r="C864" s="144"/>
      <c r="D864" s="145"/>
      <c r="E864" s="149"/>
      <c r="G864" s="150"/>
      <c r="H864" s="150"/>
      <c r="I864" s="150"/>
      <c r="J864" s="150"/>
    </row>
    <row r="865" spans="2:10" ht="15.75" x14ac:dyDescent="0.25">
      <c r="B865" s="148">
        <v>829</v>
      </c>
      <c r="C865" s="144"/>
      <c r="D865" s="145"/>
      <c r="E865" s="149"/>
      <c r="G865" s="150"/>
      <c r="H865" s="150"/>
      <c r="I865" s="150"/>
      <c r="J865" s="150"/>
    </row>
    <row r="866" spans="2:10" ht="15.75" x14ac:dyDescent="0.25">
      <c r="B866" s="148">
        <v>830</v>
      </c>
      <c r="C866" s="144"/>
      <c r="D866" s="145"/>
      <c r="E866" s="149"/>
      <c r="G866" s="150"/>
      <c r="H866" s="150"/>
      <c r="I866" s="150"/>
      <c r="J866" s="150"/>
    </row>
    <row r="867" spans="2:10" ht="15.75" x14ac:dyDescent="0.25">
      <c r="B867" s="148">
        <v>831</v>
      </c>
      <c r="C867" s="144"/>
      <c r="D867" s="145"/>
      <c r="E867" s="149"/>
      <c r="G867" s="150"/>
      <c r="H867" s="150"/>
      <c r="I867" s="150"/>
      <c r="J867" s="150"/>
    </row>
    <row r="868" spans="2:10" ht="15.75" x14ac:dyDescent="0.25">
      <c r="B868" s="148">
        <v>832</v>
      </c>
      <c r="C868" s="144"/>
      <c r="D868" s="145"/>
      <c r="E868" s="149"/>
      <c r="G868" s="150"/>
      <c r="H868" s="150"/>
      <c r="I868" s="150"/>
      <c r="J868" s="150"/>
    </row>
    <row r="869" spans="2:10" ht="15.75" x14ac:dyDescent="0.25">
      <c r="B869" s="148">
        <v>833</v>
      </c>
      <c r="C869" s="144"/>
      <c r="D869" s="145"/>
      <c r="E869" s="149"/>
      <c r="G869" s="150"/>
      <c r="H869" s="150"/>
      <c r="I869" s="150"/>
      <c r="J869" s="150"/>
    </row>
    <row r="870" spans="2:10" ht="15.75" x14ac:dyDescent="0.25">
      <c r="B870" s="148">
        <v>834</v>
      </c>
      <c r="C870" s="144"/>
      <c r="D870" s="145"/>
      <c r="E870" s="149"/>
      <c r="G870" s="150"/>
      <c r="H870" s="150"/>
      <c r="I870" s="150"/>
      <c r="J870" s="150"/>
    </row>
    <row r="871" spans="2:10" ht="15.75" x14ac:dyDescent="0.25">
      <c r="B871" s="148">
        <v>835</v>
      </c>
      <c r="C871" s="144"/>
      <c r="D871" s="145"/>
      <c r="E871" s="149"/>
      <c r="G871" s="150"/>
      <c r="H871" s="150"/>
      <c r="I871" s="150"/>
      <c r="J871" s="150"/>
    </row>
    <row r="872" spans="2:10" ht="15.75" x14ac:dyDescent="0.25">
      <c r="B872" s="148">
        <v>836</v>
      </c>
      <c r="C872" s="144"/>
      <c r="D872" s="145"/>
      <c r="E872" s="149"/>
      <c r="G872" s="150"/>
      <c r="H872" s="150"/>
      <c r="I872" s="150"/>
      <c r="J872" s="150"/>
    </row>
    <row r="873" spans="2:10" ht="15.75" x14ac:dyDescent="0.25">
      <c r="B873" s="148">
        <v>837</v>
      </c>
      <c r="C873" s="144"/>
      <c r="D873" s="145"/>
      <c r="E873" s="149"/>
      <c r="G873" s="150"/>
      <c r="H873" s="150"/>
      <c r="I873" s="150"/>
      <c r="J873" s="150"/>
    </row>
    <row r="874" spans="2:10" ht="15.75" x14ac:dyDescent="0.25">
      <c r="B874" s="148">
        <v>838</v>
      </c>
      <c r="C874" s="144"/>
      <c r="D874" s="145"/>
      <c r="E874" s="149"/>
      <c r="G874" s="150"/>
      <c r="H874" s="150"/>
      <c r="I874" s="150"/>
      <c r="J874" s="150"/>
    </row>
    <row r="875" spans="2:10" ht="15.75" x14ac:dyDescent="0.25">
      <c r="B875" s="148">
        <v>839</v>
      </c>
      <c r="C875" s="144"/>
      <c r="D875" s="145"/>
      <c r="E875" s="149"/>
      <c r="G875" s="150"/>
      <c r="H875" s="150"/>
      <c r="I875" s="150"/>
      <c r="J875" s="150"/>
    </row>
    <row r="876" spans="2:10" ht="15.75" x14ac:dyDescent="0.25">
      <c r="B876" s="148">
        <v>840</v>
      </c>
      <c r="C876" s="144"/>
      <c r="D876" s="145"/>
      <c r="E876" s="149"/>
      <c r="G876" s="150"/>
      <c r="H876" s="150"/>
      <c r="I876" s="150"/>
      <c r="J876" s="150"/>
    </row>
    <row r="877" spans="2:10" ht="15.75" x14ac:dyDescent="0.25">
      <c r="B877" s="148">
        <v>841</v>
      </c>
      <c r="C877" s="144"/>
      <c r="D877" s="145"/>
      <c r="E877" s="149"/>
      <c r="G877" s="150"/>
      <c r="H877" s="150"/>
      <c r="I877" s="150"/>
      <c r="J877" s="150"/>
    </row>
    <row r="878" spans="2:10" ht="15.75" x14ac:dyDescent="0.25">
      <c r="B878" s="148">
        <v>842</v>
      </c>
      <c r="C878" s="144"/>
      <c r="D878" s="145"/>
      <c r="E878" s="149"/>
      <c r="G878" s="150"/>
      <c r="H878" s="150"/>
      <c r="I878" s="150"/>
      <c r="J878" s="150"/>
    </row>
    <row r="879" spans="2:10" ht="15.75" x14ac:dyDescent="0.25">
      <c r="B879" s="148">
        <v>843</v>
      </c>
      <c r="C879" s="144"/>
      <c r="D879" s="145"/>
      <c r="E879" s="149"/>
      <c r="G879" s="150"/>
      <c r="H879" s="150"/>
      <c r="I879" s="150"/>
      <c r="J879" s="150"/>
    </row>
    <row r="880" spans="2:10" ht="15.75" x14ac:dyDescent="0.25">
      <c r="B880" s="148">
        <v>844</v>
      </c>
      <c r="C880" s="144"/>
      <c r="D880" s="145"/>
      <c r="E880" s="149"/>
      <c r="G880" s="150"/>
      <c r="H880" s="150"/>
      <c r="I880" s="150"/>
      <c r="J880" s="150"/>
    </row>
    <row r="881" spans="2:10" ht="15.75" x14ac:dyDescent="0.25">
      <c r="B881" s="148">
        <v>845</v>
      </c>
      <c r="C881" s="144"/>
      <c r="D881" s="145"/>
      <c r="E881" s="149"/>
      <c r="G881" s="150"/>
      <c r="H881" s="150"/>
      <c r="I881" s="150"/>
      <c r="J881" s="150"/>
    </row>
    <row r="882" spans="2:10" ht="15.75" x14ac:dyDescent="0.25">
      <c r="B882" s="148">
        <v>846</v>
      </c>
      <c r="C882" s="144"/>
      <c r="D882" s="145"/>
      <c r="E882" s="149"/>
      <c r="G882" s="150"/>
      <c r="H882" s="150"/>
      <c r="I882" s="150"/>
      <c r="J882" s="150"/>
    </row>
    <row r="883" spans="2:10" ht="15.75" x14ac:dyDescent="0.25">
      <c r="B883" s="148">
        <v>847</v>
      </c>
      <c r="C883" s="144"/>
      <c r="D883" s="145"/>
      <c r="E883" s="149"/>
      <c r="G883" s="150"/>
      <c r="H883" s="150"/>
      <c r="I883" s="150"/>
      <c r="J883" s="150"/>
    </row>
    <row r="884" spans="2:10" ht="15.75" x14ac:dyDescent="0.25">
      <c r="B884" s="148">
        <v>848</v>
      </c>
      <c r="C884" s="144"/>
      <c r="D884" s="145"/>
      <c r="E884" s="149"/>
      <c r="G884" s="150"/>
      <c r="H884" s="150"/>
      <c r="I884" s="150"/>
      <c r="J884" s="150"/>
    </row>
    <row r="885" spans="2:10" ht="15.75" x14ac:dyDescent="0.25">
      <c r="B885" s="148">
        <v>849</v>
      </c>
      <c r="C885" s="144"/>
      <c r="D885" s="145"/>
      <c r="E885" s="149"/>
      <c r="G885" s="150"/>
      <c r="H885" s="150"/>
      <c r="I885" s="150"/>
      <c r="J885" s="150"/>
    </row>
    <row r="886" spans="2:10" ht="15.75" x14ac:dyDescent="0.25">
      <c r="B886" s="148">
        <v>850</v>
      </c>
      <c r="C886" s="144"/>
      <c r="D886" s="145"/>
      <c r="E886" s="149"/>
      <c r="G886" s="150"/>
      <c r="H886" s="150"/>
      <c r="I886" s="150"/>
      <c r="J886" s="150"/>
    </row>
    <row r="887" spans="2:10" ht="15.75" x14ac:dyDescent="0.25">
      <c r="B887" s="148">
        <v>851</v>
      </c>
      <c r="C887" s="144"/>
      <c r="D887" s="145"/>
      <c r="E887" s="149"/>
      <c r="G887" s="150"/>
      <c r="H887" s="150"/>
      <c r="I887" s="150"/>
      <c r="J887" s="150"/>
    </row>
    <row r="888" spans="2:10" ht="15.75" x14ac:dyDescent="0.25">
      <c r="B888" s="148">
        <v>852</v>
      </c>
      <c r="C888" s="144"/>
      <c r="D888" s="145"/>
      <c r="E888" s="149"/>
      <c r="G888" s="150"/>
      <c r="H888" s="150"/>
      <c r="I888" s="150"/>
      <c r="J888" s="150"/>
    </row>
    <row r="889" spans="2:10" ht="15.75" x14ac:dyDescent="0.25">
      <c r="B889" s="148">
        <v>853</v>
      </c>
      <c r="C889" s="144"/>
      <c r="D889" s="145"/>
      <c r="E889" s="149"/>
      <c r="G889" s="150"/>
      <c r="H889" s="150"/>
      <c r="I889" s="150"/>
      <c r="J889" s="150"/>
    </row>
    <row r="890" spans="2:10" ht="15.75" x14ac:dyDescent="0.25">
      <c r="B890" s="148">
        <v>854</v>
      </c>
      <c r="C890" s="144"/>
      <c r="D890" s="145"/>
      <c r="E890" s="149"/>
      <c r="G890" s="150"/>
      <c r="H890" s="150"/>
      <c r="I890" s="150"/>
      <c r="J890" s="150"/>
    </row>
    <row r="891" spans="2:10" ht="15.75" x14ac:dyDescent="0.25">
      <c r="B891" s="148">
        <v>855</v>
      </c>
      <c r="C891" s="144"/>
      <c r="D891" s="145"/>
      <c r="E891" s="149"/>
      <c r="G891" s="150"/>
      <c r="H891" s="150"/>
      <c r="I891" s="150"/>
      <c r="J891" s="150"/>
    </row>
    <row r="892" spans="2:10" ht="15.75" x14ac:dyDescent="0.25">
      <c r="B892" s="148">
        <v>856</v>
      </c>
      <c r="C892" s="144"/>
      <c r="D892" s="145"/>
      <c r="E892" s="149"/>
      <c r="G892" s="150"/>
      <c r="H892" s="150"/>
      <c r="I892" s="150"/>
      <c r="J892" s="150"/>
    </row>
    <row r="893" spans="2:10" ht="15.75" x14ac:dyDescent="0.25">
      <c r="B893" s="148">
        <v>857</v>
      </c>
      <c r="C893" s="144"/>
      <c r="D893" s="145"/>
      <c r="E893" s="149"/>
      <c r="G893" s="150"/>
      <c r="H893" s="150"/>
      <c r="I893" s="150"/>
      <c r="J893" s="150"/>
    </row>
    <row r="894" spans="2:10" ht="15.75" x14ac:dyDescent="0.25">
      <c r="B894" s="148">
        <v>858</v>
      </c>
      <c r="C894" s="144"/>
      <c r="D894" s="145"/>
      <c r="E894" s="149"/>
      <c r="G894" s="150"/>
      <c r="H894" s="150"/>
      <c r="I894" s="150"/>
      <c r="J894" s="150"/>
    </row>
    <row r="895" spans="2:10" ht="15.75" x14ac:dyDescent="0.25">
      <c r="B895" s="148">
        <v>859</v>
      </c>
      <c r="C895" s="144"/>
      <c r="D895" s="145"/>
      <c r="E895" s="149"/>
      <c r="G895" s="150"/>
      <c r="H895" s="150"/>
      <c r="I895" s="150"/>
      <c r="J895" s="150"/>
    </row>
    <row r="896" spans="2:10" ht="15.75" x14ac:dyDescent="0.25">
      <c r="B896" s="148">
        <v>860</v>
      </c>
      <c r="C896" s="144"/>
      <c r="D896" s="145"/>
      <c r="E896" s="149"/>
      <c r="G896" s="150"/>
      <c r="H896" s="150"/>
      <c r="I896" s="150"/>
      <c r="J896" s="150"/>
    </row>
    <row r="897" spans="2:10" ht="15.75" x14ac:dyDescent="0.25">
      <c r="B897" s="148">
        <v>861</v>
      </c>
      <c r="C897" s="144"/>
      <c r="D897" s="145"/>
      <c r="E897" s="149"/>
      <c r="G897" s="150"/>
      <c r="H897" s="150"/>
      <c r="I897" s="150"/>
      <c r="J897" s="150"/>
    </row>
    <row r="898" spans="2:10" ht="15.75" x14ac:dyDescent="0.25">
      <c r="B898" s="148">
        <v>862</v>
      </c>
      <c r="C898" s="144"/>
      <c r="D898" s="145"/>
      <c r="E898" s="149"/>
      <c r="G898" s="150"/>
      <c r="H898" s="150"/>
      <c r="I898" s="150"/>
      <c r="J898" s="150"/>
    </row>
    <row r="899" spans="2:10" ht="15.75" x14ac:dyDescent="0.25">
      <c r="B899" s="148">
        <v>863</v>
      </c>
      <c r="C899" s="144"/>
      <c r="D899" s="145"/>
      <c r="E899" s="149"/>
      <c r="G899" s="150"/>
      <c r="H899" s="150"/>
      <c r="I899" s="150"/>
      <c r="J899" s="150"/>
    </row>
    <row r="900" spans="2:10" ht="15.75" x14ac:dyDescent="0.25">
      <c r="B900" s="148">
        <v>864</v>
      </c>
      <c r="C900" s="144"/>
      <c r="D900" s="145"/>
      <c r="E900" s="149"/>
      <c r="G900" s="150"/>
      <c r="H900" s="150"/>
      <c r="I900" s="150"/>
      <c r="J900" s="150"/>
    </row>
    <row r="901" spans="2:10" ht="15.75" x14ac:dyDescent="0.25">
      <c r="B901" s="148">
        <v>865</v>
      </c>
      <c r="C901" s="144"/>
      <c r="D901" s="145"/>
      <c r="E901" s="149"/>
      <c r="G901" s="150"/>
      <c r="H901" s="150"/>
      <c r="I901" s="150"/>
      <c r="J901" s="150"/>
    </row>
    <row r="902" spans="2:10" ht="15.75" x14ac:dyDescent="0.25">
      <c r="B902" s="148">
        <v>866</v>
      </c>
      <c r="C902" s="144"/>
      <c r="D902" s="145"/>
      <c r="E902" s="149"/>
      <c r="G902" s="150"/>
      <c r="H902" s="150"/>
      <c r="I902" s="150"/>
      <c r="J902" s="150"/>
    </row>
    <row r="903" spans="2:10" ht="15.75" x14ac:dyDescent="0.25">
      <c r="B903" s="148">
        <v>867</v>
      </c>
      <c r="C903" s="144"/>
      <c r="D903" s="145"/>
      <c r="E903" s="149"/>
      <c r="G903" s="150"/>
      <c r="H903" s="150"/>
      <c r="I903" s="150"/>
      <c r="J903" s="150"/>
    </row>
    <row r="904" spans="2:10" ht="15.75" x14ac:dyDescent="0.25">
      <c r="B904" s="148">
        <v>868</v>
      </c>
      <c r="C904" s="144"/>
      <c r="D904" s="145"/>
      <c r="E904" s="149"/>
      <c r="G904" s="150"/>
      <c r="H904" s="150"/>
      <c r="I904" s="150"/>
      <c r="J904" s="150"/>
    </row>
    <row r="905" spans="2:10" ht="15.75" x14ac:dyDescent="0.25">
      <c r="B905" s="148">
        <v>869</v>
      </c>
      <c r="C905" s="144"/>
      <c r="D905" s="145"/>
      <c r="E905" s="149"/>
      <c r="G905" s="150"/>
      <c r="H905" s="150"/>
      <c r="I905" s="150"/>
      <c r="J905" s="150"/>
    </row>
    <row r="906" spans="2:10" ht="15.75" x14ac:dyDescent="0.25">
      <c r="B906" s="148">
        <v>870</v>
      </c>
      <c r="C906" s="144"/>
      <c r="D906" s="145"/>
      <c r="E906" s="149"/>
      <c r="G906" s="150"/>
      <c r="H906" s="150"/>
      <c r="I906" s="150"/>
      <c r="J906" s="150"/>
    </row>
    <row r="907" spans="2:10" ht="15.75" x14ac:dyDescent="0.25">
      <c r="B907" s="148">
        <v>871</v>
      </c>
      <c r="C907" s="144"/>
      <c r="D907" s="145"/>
      <c r="E907" s="149"/>
      <c r="G907" s="150"/>
      <c r="H907" s="150"/>
      <c r="I907" s="150"/>
      <c r="J907" s="150"/>
    </row>
    <row r="908" spans="2:10" ht="15.75" x14ac:dyDescent="0.25">
      <c r="B908" s="148">
        <v>872</v>
      </c>
      <c r="C908" s="144"/>
      <c r="D908" s="145"/>
      <c r="E908" s="149"/>
      <c r="G908" s="150"/>
      <c r="H908" s="150"/>
      <c r="I908" s="150"/>
      <c r="J908" s="150"/>
    </row>
    <row r="909" spans="2:10" ht="15.75" x14ac:dyDescent="0.25">
      <c r="B909" s="148">
        <v>873</v>
      </c>
      <c r="C909" s="144"/>
      <c r="D909" s="145"/>
      <c r="E909" s="149"/>
      <c r="G909" s="150"/>
      <c r="H909" s="150"/>
      <c r="I909" s="150"/>
      <c r="J909" s="150"/>
    </row>
    <row r="910" spans="2:10" ht="15.75" x14ac:dyDescent="0.25">
      <c r="B910" s="148">
        <v>874</v>
      </c>
      <c r="C910" s="144"/>
      <c r="D910" s="145"/>
      <c r="E910" s="149"/>
      <c r="G910" s="150"/>
      <c r="H910" s="150"/>
      <c r="I910" s="150"/>
      <c r="J910" s="150"/>
    </row>
    <row r="911" spans="2:10" ht="15.75" x14ac:dyDescent="0.25">
      <c r="B911" s="148">
        <v>875</v>
      </c>
      <c r="C911" s="144"/>
      <c r="D911" s="145"/>
      <c r="E911" s="149"/>
      <c r="G911" s="150"/>
      <c r="H911" s="150"/>
      <c r="I911" s="150"/>
      <c r="J911" s="150"/>
    </row>
    <row r="912" spans="2:10" ht="15.75" x14ac:dyDescent="0.25">
      <c r="B912" s="148">
        <v>876</v>
      </c>
      <c r="C912" s="144"/>
      <c r="D912" s="145"/>
      <c r="E912" s="149"/>
      <c r="G912" s="150"/>
      <c r="H912" s="150"/>
      <c r="I912" s="150"/>
      <c r="J912" s="150"/>
    </row>
    <row r="913" spans="2:10" ht="15.75" x14ac:dyDescent="0.25">
      <c r="B913" s="148">
        <v>877</v>
      </c>
      <c r="C913" s="144"/>
      <c r="D913" s="145"/>
      <c r="E913" s="149"/>
      <c r="G913" s="150"/>
      <c r="H913" s="150"/>
      <c r="I913" s="150"/>
      <c r="J913" s="150"/>
    </row>
    <row r="914" spans="2:10" ht="15.75" x14ac:dyDescent="0.25">
      <c r="B914" s="148">
        <v>878</v>
      </c>
      <c r="C914" s="144"/>
      <c r="D914" s="145"/>
      <c r="E914" s="149"/>
      <c r="G914" s="150"/>
      <c r="H914" s="150"/>
      <c r="I914" s="150"/>
      <c r="J914" s="150"/>
    </row>
    <row r="915" spans="2:10" ht="15.75" x14ac:dyDescent="0.25">
      <c r="B915" s="148">
        <v>879</v>
      </c>
      <c r="C915" s="144"/>
      <c r="D915" s="145"/>
      <c r="E915" s="149"/>
      <c r="G915" s="150"/>
      <c r="H915" s="150"/>
      <c r="I915" s="150"/>
      <c r="J915" s="150"/>
    </row>
    <row r="916" spans="2:10" ht="15.75" x14ac:dyDescent="0.25">
      <c r="B916" s="148">
        <v>880</v>
      </c>
      <c r="C916" s="144"/>
      <c r="D916" s="145"/>
      <c r="E916" s="149"/>
      <c r="G916" s="150"/>
      <c r="H916" s="150"/>
      <c r="I916" s="150"/>
      <c r="J916" s="150"/>
    </row>
    <row r="917" spans="2:10" ht="15.75" x14ac:dyDescent="0.25">
      <c r="B917" s="148">
        <v>881</v>
      </c>
      <c r="C917" s="144"/>
      <c r="D917" s="145"/>
      <c r="E917" s="149"/>
      <c r="G917" s="150"/>
      <c r="H917" s="150"/>
      <c r="I917" s="150"/>
      <c r="J917" s="150"/>
    </row>
    <row r="918" spans="2:10" ht="15.75" x14ac:dyDescent="0.25">
      <c r="B918" s="148">
        <v>882</v>
      </c>
      <c r="C918" s="144"/>
      <c r="D918" s="145"/>
      <c r="E918" s="149"/>
      <c r="G918" s="150"/>
      <c r="H918" s="150"/>
      <c r="I918" s="150"/>
      <c r="J918" s="150"/>
    </row>
    <row r="919" spans="2:10" ht="15.75" x14ac:dyDescent="0.25">
      <c r="B919" s="148">
        <v>883</v>
      </c>
      <c r="C919" s="144"/>
      <c r="D919" s="145"/>
      <c r="E919" s="149"/>
      <c r="G919" s="150"/>
      <c r="H919" s="150"/>
      <c r="I919" s="150"/>
      <c r="J919" s="150"/>
    </row>
    <row r="920" spans="2:10" ht="15.75" x14ac:dyDescent="0.25">
      <c r="B920" s="148">
        <v>884</v>
      </c>
      <c r="C920" s="144"/>
      <c r="D920" s="145"/>
      <c r="E920" s="149"/>
      <c r="G920" s="150"/>
      <c r="H920" s="150"/>
      <c r="I920" s="150"/>
      <c r="J920" s="150"/>
    </row>
    <row r="921" spans="2:10" ht="15.75" x14ac:dyDescent="0.25">
      <c r="B921" s="148">
        <v>885</v>
      </c>
      <c r="C921" s="144"/>
      <c r="D921" s="145"/>
      <c r="E921" s="149"/>
      <c r="G921" s="150"/>
      <c r="H921" s="150"/>
      <c r="I921" s="150"/>
      <c r="J921" s="150"/>
    </row>
    <row r="922" spans="2:10" ht="15.75" x14ac:dyDescent="0.25">
      <c r="B922" s="148">
        <v>886</v>
      </c>
      <c r="C922" s="144"/>
      <c r="D922" s="145"/>
      <c r="E922" s="149"/>
      <c r="G922" s="150"/>
      <c r="H922" s="150"/>
      <c r="I922" s="150"/>
      <c r="J922" s="150"/>
    </row>
    <row r="923" spans="2:10" ht="15.75" x14ac:dyDescent="0.25">
      <c r="B923" s="148">
        <v>887</v>
      </c>
      <c r="C923" s="144"/>
      <c r="D923" s="145"/>
      <c r="E923" s="149"/>
      <c r="G923" s="150"/>
      <c r="H923" s="150"/>
      <c r="I923" s="150"/>
      <c r="J923" s="150"/>
    </row>
    <row r="924" spans="2:10" ht="15.75" x14ac:dyDescent="0.25">
      <c r="B924" s="148">
        <v>888</v>
      </c>
      <c r="C924" s="144"/>
      <c r="D924" s="145"/>
      <c r="E924" s="149"/>
      <c r="G924" s="150"/>
      <c r="H924" s="150"/>
      <c r="I924" s="150"/>
      <c r="J924" s="150"/>
    </row>
    <row r="925" spans="2:10" ht="15.75" x14ac:dyDescent="0.25">
      <c r="B925" s="148">
        <v>889</v>
      </c>
      <c r="C925" s="144"/>
      <c r="D925" s="145"/>
      <c r="E925" s="149"/>
      <c r="G925" s="150"/>
      <c r="H925" s="150"/>
      <c r="I925" s="150"/>
      <c r="J925" s="150"/>
    </row>
    <row r="926" spans="2:10" ht="15.75" x14ac:dyDescent="0.25">
      <c r="B926" s="148">
        <v>890</v>
      </c>
      <c r="C926" s="144"/>
      <c r="D926" s="145"/>
      <c r="E926" s="149"/>
      <c r="G926" s="150"/>
      <c r="H926" s="150"/>
      <c r="I926" s="150"/>
      <c r="J926" s="150"/>
    </row>
    <row r="927" spans="2:10" ht="15.75" x14ac:dyDescent="0.25">
      <c r="B927" s="148">
        <v>891</v>
      </c>
      <c r="C927" s="144"/>
      <c r="D927" s="145"/>
      <c r="E927" s="149"/>
      <c r="G927" s="150"/>
      <c r="H927" s="150"/>
      <c r="I927" s="150"/>
      <c r="J927" s="150"/>
    </row>
    <row r="928" spans="2:10" ht="15.75" x14ac:dyDescent="0.25">
      <c r="B928" s="148">
        <v>892</v>
      </c>
      <c r="C928" s="144"/>
      <c r="D928" s="145"/>
      <c r="E928" s="149"/>
      <c r="G928" s="150"/>
      <c r="H928" s="150"/>
      <c r="I928" s="150"/>
      <c r="J928" s="150"/>
    </row>
    <row r="929" spans="2:10" ht="15.75" x14ac:dyDescent="0.25">
      <c r="B929" s="148">
        <v>893</v>
      </c>
      <c r="C929" s="144"/>
      <c r="D929" s="145"/>
      <c r="E929" s="149"/>
      <c r="G929" s="150"/>
      <c r="H929" s="150"/>
      <c r="I929" s="150"/>
      <c r="J929" s="150"/>
    </row>
    <row r="930" spans="2:10" ht="15.75" x14ac:dyDescent="0.25">
      <c r="B930" s="148">
        <v>894</v>
      </c>
      <c r="C930" s="144"/>
      <c r="D930" s="145"/>
      <c r="E930" s="149"/>
      <c r="G930" s="150"/>
      <c r="H930" s="150"/>
      <c r="I930" s="150"/>
      <c r="J930" s="150"/>
    </row>
    <row r="931" spans="2:10" ht="15.75" x14ac:dyDescent="0.25">
      <c r="B931" s="148">
        <v>895</v>
      </c>
      <c r="C931" s="144"/>
      <c r="D931" s="145"/>
      <c r="E931" s="149"/>
      <c r="G931" s="150"/>
      <c r="H931" s="150"/>
      <c r="I931" s="150"/>
      <c r="J931" s="150"/>
    </row>
    <row r="932" spans="2:10" ht="15.75" x14ac:dyDescent="0.25">
      <c r="B932" s="148">
        <v>896</v>
      </c>
      <c r="C932" s="144"/>
      <c r="D932" s="145"/>
      <c r="E932" s="149"/>
      <c r="G932" s="150"/>
      <c r="H932" s="150"/>
      <c r="I932" s="150"/>
      <c r="J932" s="150"/>
    </row>
    <row r="933" spans="2:10" ht="15.75" x14ac:dyDescent="0.25">
      <c r="B933" s="148">
        <v>897</v>
      </c>
      <c r="C933" s="144"/>
      <c r="D933" s="145"/>
      <c r="E933" s="149"/>
      <c r="G933" s="150"/>
      <c r="H933" s="150"/>
      <c r="I933" s="150"/>
      <c r="J933" s="150"/>
    </row>
    <row r="934" spans="2:10" ht="15.75" x14ac:dyDescent="0.25">
      <c r="B934" s="148">
        <v>898</v>
      </c>
      <c r="C934" s="144"/>
      <c r="D934" s="145"/>
      <c r="E934" s="149"/>
      <c r="G934" s="150"/>
      <c r="H934" s="150"/>
      <c r="I934" s="150"/>
      <c r="J934" s="150"/>
    </row>
    <row r="935" spans="2:10" ht="15.75" x14ac:dyDescent="0.25">
      <c r="B935" s="148">
        <v>899</v>
      </c>
      <c r="C935" s="144"/>
      <c r="D935" s="145"/>
      <c r="E935" s="149"/>
      <c r="G935" s="150"/>
      <c r="H935" s="150"/>
      <c r="I935" s="150"/>
      <c r="J935" s="150"/>
    </row>
    <row r="936" spans="2:10" ht="15.75" x14ac:dyDescent="0.25">
      <c r="B936" s="148">
        <v>900</v>
      </c>
      <c r="C936" s="144"/>
      <c r="D936" s="145"/>
      <c r="E936" s="149"/>
      <c r="G936" s="150"/>
      <c r="H936" s="150"/>
      <c r="I936" s="150"/>
      <c r="J936" s="150"/>
    </row>
    <row r="937" spans="2:10" ht="15.75" x14ac:dyDescent="0.25">
      <c r="B937" s="148">
        <v>901</v>
      </c>
      <c r="C937" s="144"/>
      <c r="D937" s="145"/>
      <c r="E937" s="149"/>
      <c r="G937" s="150"/>
      <c r="H937" s="150"/>
      <c r="I937" s="150"/>
      <c r="J937" s="150"/>
    </row>
    <row r="938" spans="2:10" ht="15.75" x14ac:dyDescent="0.25">
      <c r="B938" s="148">
        <v>902</v>
      </c>
      <c r="C938" s="144"/>
      <c r="D938" s="145"/>
      <c r="E938" s="149"/>
      <c r="G938" s="150"/>
      <c r="H938" s="150"/>
      <c r="I938" s="150"/>
      <c r="J938" s="150"/>
    </row>
    <row r="939" spans="2:10" ht="15.75" x14ac:dyDescent="0.25">
      <c r="B939" s="148">
        <v>903</v>
      </c>
      <c r="C939" s="144"/>
      <c r="D939" s="145"/>
      <c r="E939" s="149"/>
      <c r="G939" s="150"/>
      <c r="H939" s="150"/>
      <c r="I939" s="150"/>
      <c r="J939" s="150"/>
    </row>
    <row r="940" spans="2:10" ht="15.75" x14ac:dyDescent="0.25">
      <c r="B940" s="148">
        <v>904</v>
      </c>
      <c r="C940" s="144"/>
      <c r="D940" s="145"/>
      <c r="E940" s="149"/>
      <c r="G940" s="150"/>
      <c r="H940" s="150"/>
      <c r="I940" s="150"/>
      <c r="J940" s="150"/>
    </row>
    <row r="941" spans="2:10" ht="15.75" x14ac:dyDescent="0.25">
      <c r="B941" s="148">
        <v>905</v>
      </c>
      <c r="C941" s="144"/>
      <c r="D941" s="145"/>
      <c r="E941" s="149"/>
      <c r="G941" s="150"/>
      <c r="H941" s="150"/>
      <c r="I941" s="150"/>
      <c r="J941" s="150"/>
    </row>
    <row r="942" spans="2:10" ht="15.75" x14ac:dyDescent="0.25">
      <c r="B942" s="148">
        <v>906</v>
      </c>
      <c r="C942" s="144"/>
      <c r="D942" s="145"/>
      <c r="E942" s="149"/>
      <c r="G942" s="150"/>
      <c r="H942" s="150"/>
      <c r="I942" s="150"/>
      <c r="J942" s="150"/>
    </row>
    <row r="943" spans="2:10" ht="15.75" x14ac:dyDescent="0.25">
      <c r="B943" s="148">
        <v>907</v>
      </c>
      <c r="C943" s="144"/>
      <c r="D943" s="145"/>
      <c r="E943" s="149"/>
      <c r="G943" s="150"/>
      <c r="H943" s="150"/>
      <c r="I943" s="150"/>
      <c r="J943" s="150"/>
    </row>
    <row r="944" spans="2:10" ht="15.75" x14ac:dyDescent="0.25">
      <c r="B944" s="148">
        <v>908</v>
      </c>
      <c r="C944" s="144"/>
      <c r="D944" s="145"/>
      <c r="E944" s="149"/>
      <c r="G944" s="150"/>
      <c r="H944" s="150"/>
      <c r="I944" s="150"/>
      <c r="J944" s="150"/>
    </row>
    <row r="945" spans="2:10" ht="15.75" x14ac:dyDescent="0.25">
      <c r="B945" s="148">
        <v>909</v>
      </c>
      <c r="C945" s="144"/>
      <c r="D945" s="145"/>
      <c r="E945" s="149"/>
      <c r="G945" s="150"/>
      <c r="H945" s="150"/>
      <c r="I945" s="150"/>
      <c r="J945" s="150"/>
    </row>
    <row r="946" spans="2:10" ht="15.75" x14ac:dyDescent="0.25">
      <c r="B946" s="148">
        <v>910</v>
      </c>
      <c r="C946" s="144"/>
      <c r="D946" s="145"/>
      <c r="E946" s="149"/>
      <c r="G946" s="150"/>
      <c r="H946" s="150"/>
      <c r="I946" s="150"/>
      <c r="J946" s="150"/>
    </row>
    <row r="947" spans="2:10" ht="15.75" x14ac:dyDescent="0.25">
      <c r="B947" s="148">
        <v>911</v>
      </c>
      <c r="C947" s="144"/>
      <c r="D947" s="145"/>
      <c r="E947" s="149"/>
      <c r="G947" s="150"/>
      <c r="H947" s="150"/>
      <c r="I947" s="150"/>
      <c r="J947" s="150"/>
    </row>
    <row r="948" spans="2:10" ht="15.75" x14ac:dyDescent="0.25">
      <c r="B948" s="148">
        <v>912</v>
      </c>
      <c r="C948" s="144"/>
      <c r="D948" s="145"/>
      <c r="E948" s="149"/>
      <c r="G948" s="150"/>
      <c r="H948" s="150"/>
      <c r="I948" s="150"/>
      <c r="J948" s="150"/>
    </row>
    <row r="949" spans="2:10" ht="15.75" x14ac:dyDescent="0.25">
      <c r="B949" s="148">
        <v>913</v>
      </c>
      <c r="C949" s="144"/>
      <c r="D949" s="145"/>
      <c r="E949" s="149"/>
      <c r="G949" s="150"/>
      <c r="H949" s="150"/>
      <c r="I949" s="150"/>
      <c r="J949" s="150"/>
    </row>
    <row r="950" spans="2:10" ht="15.75" x14ac:dyDescent="0.25">
      <c r="B950" s="148">
        <v>914</v>
      </c>
      <c r="C950" s="144"/>
      <c r="D950" s="145"/>
      <c r="E950" s="149"/>
      <c r="G950" s="150"/>
      <c r="H950" s="150"/>
      <c r="I950" s="150"/>
      <c r="J950" s="150"/>
    </row>
    <row r="951" spans="2:10" ht="15.75" x14ac:dyDescent="0.25">
      <c r="B951" s="148">
        <v>915</v>
      </c>
      <c r="C951" s="144"/>
      <c r="D951" s="145"/>
      <c r="E951" s="149"/>
      <c r="G951" s="150"/>
      <c r="H951" s="150"/>
      <c r="I951" s="150"/>
      <c r="J951" s="150"/>
    </row>
    <row r="952" spans="2:10" ht="15.75" x14ac:dyDescent="0.25">
      <c r="B952" s="148">
        <v>916</v>
      </c>
      <c r="C952" s="144"/>
      <c r="D952" s="145"/>
      <c r="E952" s="149"/>
      <c r="G952" s="150"/>
      <c r="H952" s="150"/>
      <c r="I952" s="150"/>
      <c r="J952" s="150"/>
    </row>
    <row r="953" spans="2:10" ht="15.75" x14ac:dyDescent="0.25">
      <c r="B953" s="148">
        <v>917</v>
      </c>
      <c r="C953" s="144"/>
      <c r="D953" s="145"/>
      <c r="E953" s="149"/>
      <c r="G953" s="150"/>
      <c r="H953" s="150"/>
      <c r="I953" s="150"/>
      <c r="J953" s="150"/>
    </row>
    <row r="954" spans="2:10" ht="15.75" x14ac:dyDescent="0.25">
      <c r="B954" s="148">
        <v>918</v>
      </c>
      <c r="C954" s="144"/>
      <c r="D954" s="145"/>
      <c r="E954" s="149"/>
      <c r="G954" s="150"/>
      <c r="H954" s="150"/>
      <c r="I954" s="150"/>
      <c r="J954" s="150"/>
    </row>
    <row r="955" spans="2:10" ht="15.75" x14ac:dyDescent="0.25">
      <c r="B955" s="148">
        <v>919</v>
      </c>
      <c r="C955" s="144"/>
      <c r="D955" s="145"/>
      <c r="E955" s="149"/>
      <c r="G955" s="150"/>
      <c r="H955" s="150"/>
      <c r="I955" s="150"/>
      <c r="J955" s="150"/>
    </row>
    <row r="956" spans="2:10" ht="15.75" x14ac:dyDescent="0.25">
      <c r="B956" s="148">
        <v>920</v>
      </c>
      <c r="C956" s="144"/>
      <c r="D956" s="145"/>
      <c r="E956" s="149"/>
      <c r="G956" s="150"/>
      <c r="H956" s="150"/>
      <c r="I956" s="150"/>
      <c r="J956" s="150"/>
    </row>
    <row r="957" spans="2:10" ht="15.75" x14ac:dyDescent="0.25">
      <c r="B957" s="148">
        <v>921</v>
      </c>
      <c r="C957" s="144"/>
      <c r="D957" s="145"/>
      <c r="E957" s="149"/>
      <c r="G957" s="150"/>
      <c r="H957" s="150"/>
      <c r="I957" s="150"/>
      <c r="J957" s="150"/>
    </row>
    <row r="958" spans="2:10" ht="15.75" x14ac:dyDescent="0.25">
      <c r="B958" s="148">
        <v>922</v>
      </c>
      <c r="C958" s="144"/>
      <c r="D958" s="145"/>
      <c r="E958" s="149"/>
      <c r="G958" s="150"/>
      <c r="H958" s="150"/>
      <c r="I958" s="150"/>
      <c r="J958" s="150"/>
    </row>
    <row r="959" spans="2:10" ht="15.75" x14ac:dyDescent="0.25">
      <c r="B959" s="148">
        <v>923</v>
      </c>
      <c r="C959" s="144"/>
      <c r="D959" s="145"/>
      <c r="E959" s="149"/>
      <c r="G959" s="150"/>
      <c r="H959" s="150"/>
      <c r="I959" s="150"/>
      <c r="J959" s="150"/>
    </row>
    <row r="960" spans="2:10" ht="15.75" x14ac:dyDescent="0.25">
      <c r="B960" s="148">
        <v>924</v>
      </c>
      <c r="C960" s="144"/>
      <c r="D960" s="145"/>
      <c r="E960" s="149"/>
      <c r="G960" s="150"/>
      <c r="H960" s="150"/>
      <c r="I960" s="150"/>
      <c r="J960" s="150"/>
    </row>
    <row r="961" spans="2:10" ht="15.75" x14ac:dyDescent="0.25">
      <c r="B961" s="148">
        <v>925</v>
      </c>
      <c r="C961" s="144"/>
      <c r="D961" s="145"/>
      <c r="E961" s="149"/>
      <c r="G961" s="150"/>
      <c r="H961" s="150"/>
      <c r="I961" s="150"/>
      <c r="J961" s="150"/>
    </row>
    <row r="962" spans="2:10" ht="15.75" x14ac:dyDescent="0.25">
      <c r="B962" s="148">
        <v>926</v>
      </c>
      <c r="C962" s="144"/>
      <c r="D962" s="145"/>
      <c r="E962" s="149"/>
      <c r="G962" s="150"/>
      <c r="H962" s="150"/>
      <c r="I962" s="150"/>
      <c r="J962" s="150"/>
    </row>
    <row r="963" spans="2:10" ht="15.75" x14ac:dyDescent="0.25">
      <c r="B963" s="148">
        <v>927</v>
      </c>
      <c r="C963" s="144"/>
      <c r="D963" s="145"/>
      <c r="E963" s="149"/>
      <c r="G963" s="150"/>
      <c r="H963" s="150"/>
      <c r="I963" s="150"/>
      <c r="J963" s="150"/>
    </row>
    <row r="964" spans="2:10" ht="15.75" x14ac:dyDescent="0.25">
      <c r="B964" s="148">
        <v>928</v>
      </c>
      <c r="C964" s="144"/>
      <c r="D964" s="145"/>
      <c r="E964" s="149"/>
      <c r="G964" s="150"/>
      <c r="H964" s="150"/>
      <c r="I964" s="150"/>
      <c r="J964" s="150"/>
    </row>
    <row r="965" spans="2:10" ht="15.75" x14ac:dyDescent="0.25">
      <c r="B965" s="148">
        <v>929</v>
      </c>
      <c r="C965" s="144"/>
      <c r="D965" s="145"/>
      <c r="E965" s="149"/>
      <c r="G965" s="150"/>
      <c r="H965" s="150"/>
      <c r="I965" s="150"/>
      <c r="J965" s="150"/>
    </row>
    <row r="966" spans="2:10" ht="15.75" x14ac:dyDescent="0.25">
      <c r="B966" s="148">
        <v>930</v>
      </c>
      <c r="C966" s="144"/>
      <c r="D966" s="145"/>
      <c r="E966" s="149"/>
      <c r="G966" s="150"/>
      <c r="H966" s="150"/>
      <c r="I966" s="150"/>
      <c r="J966" s="150"/>
    </row>
    <row r="967" spans="2:10" ht="15.75" x14ac:dyDescent="0.25">
      <c r="B967" s="148">
        <v>931</v>
      </c>
      <c r="C967" s="144"/>
      <c r="D967" s="145"/>
      <c r="E967" s="149"/>
      <c r="G967" s="150"/>
      <c r="H967" s="150"/>
      <c r="I967" s="150"/>
      <c r="J967" s="150"/>
    </row>
    <row r="968" spans="2:10" ht="15.75" x14ac:dyDescent="0.25">
      <c r="B968" s="148">
        <v>932</v>
      </c>
      <c r="C968" s="144"/>
      <c r="D968" s="145"/>
      <c r="E968" s="149"/>
      <c r="G968" s="150"/>
      <c r="H968" s="150"/>
      <c r="I968" s="150"/>
      <c r="J968" s="150"/>
    </row>
    <row r="969" spans="2:10" ht="15.75" x14ac:dyDescent="0.25">
      <c r="B969" s="148">
        <v>933</v>
      </c>
      <c r="C969" s="144"/>
      <c r="D969" s="145"/>
      <c r="E969" s="149"/>
      <c r="G969" s="150"/>
      <c r="H969" s="150"/>
      <c r="I969" s="150"/>
      <c r="J969" s="150"/>
    </row>
    <row r="970" spans="2:10" ht="15.75" x14ac:dyDescent="0.25">
      <c r="B970" s="148">
        <v>934</v>
      </c>
      <c r="C970" s="144"/>
      <c r="D970" s="145"/>
      <c r="E970" s="149"/>
      <c r="G970" s="150"/>
      <c r="H970" s="150"/>
      <c r="I970" s="150"/>
      <c r="J970" s="150"/>
    </row>
    <row r="971" spans="2:10" ht="15.75" x14ac:dyDescent="0.25">
      <c r="B971" s="148">
        <v>935</v>
      </c>
      <c r="C971" s="144"/>
      <c r="D971" s="145"/>
      <c r="E971" s="149"/>
      <c r="G971" s="150"/>
      <c r="H971" s="150"/>
      <c r="I971" s="150"/>
      <c r="J971" s="150"/>
    </row>
    <row r="972" spans="2:10" ht="15.75" x14ac:dyDescent="0.25">
      <c r="B972" s="148">
        <v>936</v>
      </c>
      <c r="C972" s="144"/>
      <c r="D972" s="145"/>
      <c r="E972" s="149"/>
      <c r="G972" s="150"/>
      <c r="H972" s="150"/>
      <c r="I972" s="150"/>
      <c r="J972" s="150"/>
    </row>
    <row r="973" spans="2:10" ht="15.75" x14ac:dyDescent="0.25">
      <c r="B973" s="148">
        <v>937</v>
      </c>
      <c r="C973" s="144"/>
      <c r="D973" s="145"/>
      <c r="E973" s="149"/>
      <c r="G973" s="150"/>
      <c r="H973" s="150"/>
      <c r="I973" s="150"/>
      <c r="J973" s="150"/>
    </row>
    <row r="974" spans="2:10" ht="15.75" x14ac:dyDescent="0.25">
      <c r="B974" s="148">
        <v>938</v>
      </c>
      <c r="C974" s="144"/>
      <c r="D974" s="145"/>
      <c r="E974" s="149"/>
      <c r="G974" s="150"/>
      <c r="H974" s="150"/>
      <c r="I974" s="150"/>
      <c r="J974" s="150"/>
    </row>
    <row r="975" spans="2:10" ht="15.75" x14ac:dyDescent="0.25">
      <c r="B975" s="148">
        <v>939</v>
      </c>
      <c r="C975" s="144"/>
      <c r="D975" s="145"/>
      <c r="E975" s="149"/>
      <c r="G975" s="150"/>
      <c r="H975" s="150"/>
      <c r="I975" s="150"/>
      <c r="J975" s="150"/>
    </row>
    <row r="976" spans="2:10" ht="15.75" x14ac:dyDescent="0.25">
      <c r="B976" s="148">
        <v>940</v>
      </c>
      <c r="C976" s="144"/>
      <c r="D976" s="145"/>
      <c r="E976" s="149"/>
      <c r="G976" s="150"/>
      <c r="H976" s="150"/>
      <c r="I976" s="150"/>
      <c r="J976" s="150"/>
    </row>
    <row r="977" spans="2:10" ht="15.75" x14ac:dyDescent="0.25">
      <c r="B977" s="148">
        <v>941</v>
      </c>
      <c r="C977" s="144"/>
      <c r="D977" s="145"/>
      <c r="E977" s="149"/>
      <c r="G977" s="150"/>
      <c r="H977" s="150"/>
      <c r="I977" s="150"/>
      <c r="J977" s="150"/>
    </row>
    <row r="978" spans="2:10" ht="15.75" x14ac:dyDescent="0.25">
      <c r="B978" s="148">
        <v>942</v>
      </c>
      <c r="C978" s="144"/>
      <c r="D978" s="145"/>
      <c r="E978" s="149"/>
      <c r="G978" s="150"/>
      <c r="H978" s="150"/>
      <c r="I978" s="150"/>
      <c r="J978" s="150"/>
    </row>
    <row r="979" spans="2:10" ht="15.75" x14ac:dyDescent="0.25">
      <c r="B979" s="148">
        <v>943</v>
      </c>
      <c r="C979" s="144"/>
      <c r="D979" s="145"/>
      <c r="E979" s="149"/>
      <c r="G979" s="150"/>
      <c r="H979" s="150"/>
      <c r="I979" s="150"/>
      <c r="J979" s="150"/>
    </row>
    <row r="980" spans="2:10" ht="15.75" x14ac:dyDescent="0.25">
      <c r="B980" s="148">
        <v>944</v>
      </c>
      <c r="C980" s="144"/>
      <c r="D980" s="145"/>
      <c r="E980" s="149"/>
      <c r="G980" s="150"/>
      <c r="H980" s="150"/>
      <c r="I980" s="150"/>
      <c r="J980" s="150"/>
    </row>
    <row r="981" spans="2:10" ht="15.75" x14ac:dyDescent="0.25">
      <c r="B981" s="148">
        <v>945</v>
      </c>
      <c r="C981" s="144"/>
      <c r="D981" s="145"/>
      <c r="E981" s="149"/>
      <c r="G981" s="150"/>
      <c r="H981" s="150"/>
      <c r="I981" s="150"/>
      <c r="J981" s="150"/>
    </row>
    <row r="982" spans="2:10" ht="15.75" x14ac:dyDescent="0.25">
      <c r="B982" s="148">
        <v>946</v>
      </c>
      <c r="C982" s="144"/>
      <c r="D982" s="145"/>
      <c r="E982" s="149"/>
      <c r="G982" s="150"/>
      <c r="H982" s="150"/>
      <c r="I982" s="150"/>
      <c r="J982" s="150"/>
    </row>
    <row r="983" spans="2:10" ht="15.75" x14ac:dyDescent="0.25">
      <c r="B983" s="148">
        <v>947</v>
      </c>
      <c r="C983" s="144"/>
      <c r="D983" s="145"/>
      <c r="E983" s="149"/>
      <c r="G983" s="150"/>
      <c r="H983" s="150"/>
      <c r="I983" s="150"/>
      <c r="J983" s="150"/>
    </row>
    <row r="984" spans="2:10" ht="15.75" x14ac:dyDescent="0.25">
      <c r="B984" s="148">
        <v>948</v>
      </c>
      <c r="C984" s="144"/>
      <c r="D984" s="145"/>
      <c r="E984" s="149"/>
      <c r="G984" s="150"/>
      <c r="H984" s="150"/>
      <c r="I984" s="150"/>
      <c r="J984" s="150"/>
    </row>
    <row r="985" spans="2:10" ht="15.75" x14ac:dyDescent="0.25">
      <c r="B985" s="148">
        <v>949</v>
      </c>
      <c r="C985" s="144"/>
      <c r="D985" s="145"/>
      <c r="E985" s="149"/>
      <c r="G985" s="150"/>
      <c r="H985" s="150"/>
      <c r="I985" s="150"/>
      <c r="J985" s="150"/>
    </row>
    <row r="986" spans="2:10" ht="15.75" x14ac:dyDescent="0.25">
      <c r="B986" s="148">
        <v>950</v>
      </c>
      <c r="C986" s="144"/>
      <c r="D986" s="145"/>
      <c r="E986" s="149"/>
      <c r="G986" s="150"/>
      <c r="H986" s="150"/>
      <c r="I986" s="150"/>
      <c r="J986" s="150"/>
    </row>
    <row r="987" spans="2:10" ht="15.75" x14ac:dyDescent="0.25">
      <c r="B987" s="148">
        <v>951</v>
      </c>
      <c r="C987" s="144"/>
      <c r="D987" s="145"/>
      <c r="E987" s="149"/>
      <c r="G987" s="150"/>
      <c r="H987" s="150"/>
      <c r="I987" s="150"/>
      <c r="J987" s="150"/>
    </row>
    <row r="988" spans="2:10" ht="15.75" x14ac:dyDescent="0.25">
      <c r="B988" s="148">
        <v>952</v>
      </c>
      <c r="C988" s="144"/>
      <c r="D988" s="145"/>
      <c r="E988" s="149"/>
      <c r="G988" s="150"/>
      <c r="H988" s="150"/>
      <c r="I988" s="150"/>
      <c r="J988" s="150"/>
    </row>
    <row r="989" spans="2:10" ht="15.75" x14ac:dyDescent="0.25">
      <c r="B989" s="148">
        <v>953</v>
      </c>
      <c r="C989" s="144"/>
      <c r="D989" s="145"/>
      <c r="E989" s="149"/>
      <c r="G989" s="150"/>
      <c r="H989" s="150"/>
      <c r="I989" s="150"/>
      <c r="J989" s="150"/>
    </row>
    <row r="990" spans="2:10" ht="15.75" x14ac:dyDescent="0.25">
      <c r="B990" s="148">
        <v>954</v>
      </c>
      <c r="C990" s="144"/>
      <c r="D990" s="145"/>
      <c r="E990" s="149"/>
      <c r="G990" s="150"/>
      <c r="H990" s="150"/>
      <c r="I990" s="150"/>
      <c r="J990" s="150"/>
    </row>
    <row r="991" spans="2:10" ht="15.75" x14ac:dyDescent="0.25">
      <c r="B991" s="148">
        <v>955</v>
      </c>
      <c r="C991" s="144"/>
      <c r="D991" s="145"/>
      <c r="E991" s="149"/>
      <c r="G991" s="150"/>
      <c r="H991" s="150"/>
      <c r="I991" s="150"/>
      <c r="J991" s="150"/>
    </row>
    <row r="992" spans="2:10" ht="15.75" x14ac:dyDescent="0.25">
      <c r="B992" s="148">
        <v>956</v>
      </c>
      <c r="C992" s="144"/>
      <c r="D992" s="145"/>
      <c r="E992" s="149"/>
      <c r="G992" s="150"/>
      <c r="H992" s="150"/>
      <c r="I992" s="150"/>
      <c r="J992" s="150"/>
    </row>
    <row r="993" spans="2:10" ht="15.75" x14ac:dyDescent="0.25">
      <c r="B993" s="148">
        <v>957</v>
      </c>
      <c r="C993" s="144"/>
      <c r="D993" s="145"/>
      <c r="E993" s="149"/>
      <c r="G993" s="150"/>
      <c r="H993" s="150"/>
      <c r="I993" s="150"/>
      <c r="J993" s="150"/>
    </row>
    <row r="994" spans="2:10" ht="15.75" x14ac:dyDescent="0.25">
      <c r="B994" s="148">
        <v>958</v>
      </c>
      <c r="C994" s="144"/>
      <c r="D994" s="145"/>
      <c r="E994" s="149"/>
      <c r="G994" s="150"/>
      <c r="H994" s="150"/>
      <c r="I994" s="150"/>
      <c r="J994" s="150"/>
    </row>
    <row r="995" spans="2:10" ht="15.75" x14ac:dyDescent="0.25">
      <c r="B995" s="148">
        <v>959</v>
      </c>
      <c r="C995" s="144"/>
      <c r="D995" s="145"/>
      <c r="E995" s="149"/>
      <c r="G995" s="150"/>
      <c r="H995" s="150"/>
      <c r="I995" s="150"/>
      <c r="J995" s="150"/>
    </row>
    <row r="996" spans="2:10" ht="15.75" x14ac:dyDescent="0.25">
      <c r="B996" s="148">
        <v>960</v>
      </c>
      <c r="C996" s="144"/>
      <c r="D996" s="145"/>
      <c r="E996" s="149"/>
      <c r="G996" s="150"/>
      <c r="H996" s="150"/>
      <c r="I996" s="150"/>
      <c r="J996" s="150"/>
    </row>
    <row r="997" spans="2:10" ht="15.75" x14ac:dyDescent="0.25">
      <c r="B997" s="148">
        <v>961</v>
      </c>
      <c r="C997" s="144"/>
      <c r="D997" s="145"/>
      <c r="E997" s="149"/>
      <c r="G997" s="150"/>
      <c r="H997" s="150"/>
      <c r="I997" s="150"/>
      <c r="J997" s="150"/>
    </row>
    <row r="998" spans="2:10" ht="15.75" x14ac:dyDescent="0.25">
      <c r="B998" s="148">
        <v>962</v>
      </c>
      <c r="C998" s="144"/>
      <c r="D998" s="145"/>
      <c r="E998" s="149"/>
      <c r="G998" s="150"/>
      <c r="H998" s="150"/>
      <c r="I998" s="150"/>
      <c r="J998" s="150"/>
    </row>
    <row r="999" spans="2:10" ht="15.75" x14ac:dyDescent="0.25">
      <c r="B999" s="148">
        <v>963</v>
      </c>
      <c r="C999" s="144"/>
      <c r="D999" s="145"/>
      <c r="E999" s="149"/>
      <c r="G999" s="150"/>
      <c r="H999" s="150"/>
      <c r="I999" s="150"/>
      <c r="J999" s="150"/>
    </row>
    <row r="1000" spans="2:10" ht="15.75" x14ac:dyDescent="0.25">
      <c r="B1000" s="148">
        <v>964</v>
      </c>
      <c r="C1000" s="144"/>
      <c r="D1000" s="145"/>
      <c r="E1000" s="149"/>
      <c r="G1000" s="150"/>
      <c r="H1000" s="150"/>
      <c r="I1000" s="150"/>
      <c r="J1000" s="150"/>
    </row>
    <row r="1001" spans="2:10" ht="15.75" x14ac:dyDescent="0.25">
      <c r="B1001" s="148">
        <v>965</v>
      </c>
      <c r="C1001" s="144"/>
      <c r="D1001" s="145"/>
      <c r="E1001" s="149"/>
      <c r="G1001" s="150"/>
      <c r="H1001" s="150"/>
      <c r="I1001" s="150"/>
      <c r="J1001" s="150"/>
    </row>
    <row r="1002" spans="2:10" ht="15.75" x14ac:dyDescent="0.25">
      <c r="B1002" s="148">
        <v>966</v>
      </c>
      <c r="C1002" s="144"/>
      <c r="D1002" s="145"/>
      <c r="E1002" s="149"/>
      <c r="G1002" s="150"/>
      <c r="H1002" s="150"/>
      <c r="I1002" s="150"/>
      <c r="J1002" s="150"/>
    </row>
    <row r="1003" spans="2:10" ht="15.75" x14ac:dyDescent="0.25">
      <c r="B1003" s="148">
        <v>967</v>
      </c>
      <c r="C1003" s="144"/>
      <c r="D1003" s="145"/>
      <c r="E1003" s="149"/>
      <c r="G1003" s="150"/>
      <c r="H1003" s="150"/>
      <c r="I1003" s="150"/>
      <c r="J1003" s="150"/>
    </row>
    <row r="1004" spans="2:10" ht="15.75" x14ac:dyDescent="0.25">
      <c r="B1004" s="148">
        <v>968</v>
      </c>
      <c r="C1004" s="144"/>
      <c r="D1004" s="145"/>
      <c r="E1004" s="149"/>
      <c r="G1004" s="150"/>
      <c r="H1004" s="150"/>
      <c r="I1004" s="150"/>
      <c r="J1004" s="150"/>
    </row>
    <row r="1005" spans="2:10" ht="15.75" x14ac:dyDescent="0.25">
      <c r="B1005" s="148">
        <v>969</v>
      </c>
      <c r="C1005" s="144"/>
      <c r="D1005" s="145"/>
      <c r="E1005" s="149"/>
      <c r="G1005" s="150"/>
      <c r="H1005" s="150"/>
      <c r="I1005" s="150"/>
      <c r="J1005" s="150"/>
    </row>
    <row r="1006" spans="2:10" ht="15.75" x14ac:dyDescent="0.25">
      <c r="B1006" s="148">
        <v>970</v>
      </c>
      <c r="C1006" s="144"/>
      <c r="D1006" s="145"/>
      <c r="E1006" s="149"/>
      <c r="G1006" s="150"/>
      <c r="H1006" s="150"/>
      <c r="I1006" s="150"/>
      <c r="J1006" s="150"/>
    </row>
    <row r="1007" spans="2:10" ht="15.75" x14ac:dyDescent="0.25">
      <c r="B1007" s="148">
        <v>971</v>
      </c>
      <c r="C1007" s="144"/>
      <c r="D1007" s="145"/>
      <c r="E1007" s="149"/>
      <c r="G1007" s="150"/>
      <c r="H1007" s="150"/>
      <c r="I1007" s="150"/>
      <c r="J1007" s="150"/>
    </row>
    <row r="1008" spans="2:10" ht="15.75" x14ac:dyDescent="0.25">
      <c r="B1008" s="148">
        <v>972</v>
      </c>
      <c r="C1008" s="144"/>
      <c r="D1008" s="145"/>
      <c r="E1008" s="149"/>
      <c r="G1008" s="150"/>
      <c r="H1008" s="150"/>
      <c r="I1008" s="150"/>
      <c r="J1008" s="150"/>
    </row>
    <row r="1009" spans="2:10" ht="15.75" x14ac:dyDescent="0.25">
      <c r="B1009" s="148">
        <v>973</v>
      </c>
      <c r="C1009" s="144"/>
      <c r="D1009" s="145"/>
      <c r="E1009" s="149"/>
      <c r="G1009" s="150"/>
      <c r="H1009" s="150"/>
      <c r="I1009" s="150"/>
      <c r="J1009" s="150"/>
    </row>
    <row r="1010" spans="2:10" ht="15.75" x14ac:dyDescent="0.25">
      <c r="B1010" s="148">
        <v>974</v>
      </c>
      <c r="C1010" s="144"/>
      <c r="D1010" s="145"/>
      <c r="E1010" s="149"/>
      <c r="G1010" s="150"/>
      <c r="H1010" s="150"/>
      <c r="I1010" s="150"/>
      <c r="J1010" s="150"/>
    </row>
    <row r="1011" spans="2:10" ht="15.75" x14ac:dyDescent="0.25">
      <c r="B1011" s="148">
        <v>975</v>
      </c>
      <c r="C1011" s="144"/>
      <c r="D1011" s="145"/>
      <c r="E1011" s="149"/>
      <c r="G1011" s="150"/>
      <c r="H1011" s="150"/>
      <c r="I1011" s="150"/>
      <c r="J1011" s="150"/>
    </row>
    <row r="1012" spans="2:10" ht="15.75" x14ac:dyDescent="0.25">
      <c r="B1012" s="148">
        <v>976</v>
      </c>
      <c r="C1012" s="144"/>
      <c r="D1012" s="145"/>
      <c r="E1012" s="149"/>
      <c r="G1012" s="150"/>
      <c r="H1012" s="150"/>
      <c r="I1012" s="150"/>
      <c r="J1012" s="150"/>
    </row>
    <row r="1013" spans="2:10" ht="15.75" x14ac:dyDescent="0.25">
      <c r="B1013" s="148">
        <v>977</v>
      </c>
      <c r="C1013" s="144"/>
      <c r="D1013" s="145"/>
      <c r="E1013" s="149"/>
      <c r="G1013" s="150"/>
      <c r="H1013" s="150"/>
      <c r="I1013" s="150"/>
      <c r="J1013" s="150"/>
    </row>
    <row r="1014" spans="2:10" ht="15.75" x14ac:dyDescent="0.25">
      <c r="B1014" s="148">
        <v>978</v>
      </c>
      <c r="C1014" s="144"/>
      <c r="D1014" s="145"/>
      <c r="E1014" s="149"/>
      <c r="G1014" s="150"/>
      <c r="H1014" s="150"/>
      <c r="I1014" s="150"/>
      <c r="J1014" s="150"/>
    </row>
    <row r="1015" spans="2:10" ht="15.75" x14ac:dyDescent="0.25">
      <c r="B1015" s="148">
        <v>979</v>
      </c>
      <c r="C1015" s="144"/>
      <c r="D1015" s="145"/>
      <c r="E1015" s="149"/>
      <c r="G1015" s="150"/>
      <c r="H1015" s="150"/>
      <c r="I1015" s="150"/>
      <c r="J1015" s="150"/>
    </row>
    <row r="1016" spans="2:10" ht="15.75" x14ac:dyDescent="0.25">
      <c r="B1016" s="148">
        <v>980</v>
      </c>
      <c r="C1016" s="144"/>
      <c r="D1016" s="145"/>
      <c r="E1016" s="149"/>
      <c r="G1016" s="150"/>
      <c r="H1016" s="150"/>
      <c r="I1016" s="150"/>
      <c r="J1016" s="150"/>
    </row>
    <row r="1017" spans="2:10" ht="15.75" x14ac:dyDescent="0.25">
      <c r="B1017" s="148">
        <v>981</v>
      </c>
      <c r="C1017" s="144"/>
      <c r="D1017" s="145"/>
      <c r="E1017" s="149"/>
      <c r="G1017" s="150"/>
      <c r="H1017" s="150"/>
      <c r="I1017" s="150"/>
      <c r="J1017" s="150"/>
    </row>
    <row r="1018" spans="2:10" ht="15.75" x14ac:dyDescent="0.25">
      <c r="B1018" s="148">
        <v>982</v>
      </c>
      <c r="C1018" s="144"/>
      <c r="D1018" s="145"/>
      <c r="E1018" s="149"/>
      <c r="G1018" s="150"/>
      <c r="H1018" s="150"/>
      <c r="I1018" s="150"/>
      <c r="J1018" s="150"/>
    </row>
    <row r="1019" spans="2:10" ht="15.75" x14ac:dyDescent="0.25">
      <c r="B1019" s="148">
        <v>983</v>
      </c>
      <c r="C1019" s="144"/>
      <c r="D1019" s="145"/>
      <c r="E1019" s="149"/>
      <c r="G1019" s="150"/>
      <c r="H1019" s="150"/>
      <c r="I1019" s="150"/>
      <c r="J1019" s="150"/>
    </row>
    <row r="1020" spans="2:10" ht="15.75" x14ac:dyDescent="0.25">
      <c r="B1020" s="148">
        <v>984</v>
      </c>
      <c r="C1020" s="144"/>
      <c r="D1020" s="145"/>
      <c r="E1020" s="149"/>
      <c r="G1020" s="150"/>
      <c r="H1020" s="150"/>
      <c r="I1020" s="150"/>
      <c r="J1020" s="150"/>
    </row>
    <row r="1021" spans="2:10" ht="15.75" x14ac:dyDescent="0.25">
      <c r="B1021" s="148">
        <v>985</v>
      </c>
      <c r="C1021" s="144"/>
      <c r="D1021" s="145"/>
      <c r="E1021" s="149"/>
      <c r="G1021" s="150"/>
      <c r="H1021" s="150"/>
      <c r="I1021" s="150"/>
      <c r="J1021" s="150"/>
    </row>
    <row r="1022" spans="2:10" ht="15.75" x14ac:dyDescent="0.25">
      <c r="B1022" s="148">
        <v>986</v>
      </c>
      <c r="C1022" s="144"/>
      <c r="D1022" s="145"/>
      <c r="E1022" s="149"/>
      <c r="G1022" s="150"/>
      <c r="H1022" s="150"/>
      <c r="I1022" s="150"/>
      <c r="J1022" s="150"/>
    </row>
    <row r="1023" spans="2:10" ht="15.75" x14ac:dyDescent="0.25">
      <c r="B1023" s="148">
        <v>987</v>
      </c>
      <c r="C1023" s="144"/>
      <c r="D1023" s="145"/>
      <c r="E1023" s="149"/>
      <c r="G1023" s="150"/>
      <c r="H1023" s="150"/>
      <c r="I1023" s="150"/>
      <c r="J1023" s="150"/>
    </row>
    <row r="1024" spans="2:10" ht="15.75" x14ac:dyDescent="0.25">
      <c r="B1024" s="148">
        <v>988</v>
      </c>
      <c r="C1024" s="144"/>
      <c r="D1024" s="145"/>
      <c r="E1024" s="149"/>
      <c r="G1024" s="150"/>
      <c r="H1024" s="150"/>
      <c r="I1024" s="150"/>
      <c r="J1024" s="150"/>
    </row>
    <row r="1025" spans="2:10" ht="15.75" x14ac:dyDescent="0.25">
      <c r="B1025" s="148">
        <v>989</v>
      </c>
      <c r="C1025" s="144"/>
      <c r="D1025" s="145"/>
      <c r="E1025" s="149"/>
      <c r="G1025" s="150"/>
      <c r="H1025" s="150"/>
      <c r="I1025" s="150"/>
      <c r="J1025" s="150"/>
    </row>
    <row r="1026" spans="2:10" ht="15.75" x14ac:dyDescent="0.25">
      <c r="B1026" s="148">
        <v>990</v>
      </c>
      <c r="C1026" s="144"/>
      <c r="D1026" s="145"/>
      <c r="E1026" s="149"/>
      <c r="G1026" s="150"/>
      <c r="H1026" s="150"/>
      <c r="I1026" s="150"/>
      <c r="J1026" s="150"/>
    </row>
    <row r="1027" spans="2:10" ht="15.75" x14ac:dyDescent="0.25">
      <c r="B1027" s="148">
        <v>991</v>
      </c>
      <c r="C1027" s="144"/>
      <c r="D1027" s="145"/>
      <c r="E1027" s="149"/>
      <c r="G1027" s="150"/>
      <c r="H1027" s="150"/>
      <c r="I1027" s="150"/>
      <c r="J1027" s="150"/>
    </row>
    <row r="1028" spans="2:10" ht="15.75" x14ac:dyDescent="0.25">
      <c r="B1028" s="148">
        <v>992</v>
      </c>
      <c r="C1028" s="144"/>
      <c r="D1028" s="145"/>
      <c r="E1028" s="149"/>
      <c r="G1028" s="150"/>
      <c r="H1028" s="150"/>
      <c r="I1028" s="150"/>
      <c r="J1028" s="150"/>
    </row>
    <row r="1029" spans="2:10" ht="15.75" x14ac:dyDescent="0.25">
      <c r="B1029" s="148">
        <v>993</v>
      </c>
      <c r="C1029" s="144"/>
      <c r="D1029" s="145"/>
      <c r="E1029" s="149"/>
      <c r="G1029" s="150"/>
      <c r="H1029" s="150"/>
      <c r="I1029" s="150"/>
      <c r="J1029" s="150"/>
    </row>
    <row r="1030" spans="2:10" ht="15.75" x14ac:dyDescent="0.25">
      <c r="B1030" s="148">
        <v>994</v>
      </c>
      <c r="C1030" s="144"/>
      <c r="D1030" s="145"/>
      <c r="E1030" s="149"/>
      <c r="G1030" s="150"/>
      <c r="H1030" s="150"/>
      <c r="I1030" s="150"/>
      <c r="J1030" s="150"/>
    </row>
    <row r="1031" spans="2:10" ht="15.75" x14ac:dyDescent="0.25">
      <c r="B1031" s="148">
        <v>995</v>
      </c>
      <c r="C1031" s="144"/>
      <c r="D1031" s="145"/>
      <c r="E1031" s="149"/>
      <c r="G1031" s="150"/>
      <c r="H1031" s="150"/>
      <c r="I1031" s="150"/>
      <c r="J1031" s="150"/>
    </row>
    <row r="1032" spans="2:10" ht="15.75" x14ac:dyDescent="0.25">
      <c r="B1032" s="148">
        <v>996</v>
      </c>
      <c r="C1032" s="144"/>
      <c r="D1032" s="145"/>
      <c r="E1032" s="149"/>
      <c r="G1032" s="150"/>
      <c r="H1032" s="150"/>
      <c r="I1032" s="150"/>
      <c r="J1032" s="150"/>
    </row>
    <row r="1033" spans="2:10" ht="15.75" x14ac:dyDescent="0.25">
      <c r="B1033" s="148">
        <v>997</v>
      </c>
      <c r="C1033" s="144"/>
      <c r="D1033" s="145"/>
      <c r="E1033" s="149"/>
      <c r="G1033" s="150"/>
      <c r="H1033" s="150"/>
      <c r="I1033" s="150"/>
      <c r="J1033" s="150"/>
    </row>
    <row r="1034" spans="2:10" ht="15.75" x14ac:dyDescent="0.25">
      <c r="B1034" s="148">
        <v>998</v>
      </c>
      <c r="C1034" s="144"/>
      <c r="D1034" s="145"/>
      <c r="E1034" s="149"/>
      <c r="G1034" s="150"/>
      <c r="H1034" s="150"/>
      <c r="I1034" s="150"/>
      <c r="J1034" s="150"/>
    </row>
    <row r="1035" spans="2:10" ht="15.75" x14ac:dyDescent="0.25">
      <c r="B1035" s="148">
        <v>999</v>
      </c>
      <c r="C1035" s="144"/>
      <c r="D1035" s="145"/>
      <c r="E1035" s="149"/>
      <c r="G1035" s="150"/>
      <c r="H1035" s="150"/>
      <c r="I1035" s="150"/>
      <c r="J1035" s="150"/>
    </row>
    <row r="1036" spans="2:10" ht="15.75" x14ac:dyDescent="0.25">
      <c r="B1036" s="148">
        <v>1000</v>
      </c>
      <c r="C1036" s="144"/>
      <c r="D1036" s="145"/>
      <c r="E1036" s="149"/>
      <c r="G1036" s="150"/>
      <c r="H1036" s="150"/>
      <c r="I1036" s="150"/>
      <c r="J1036" s="150"/>
    </row>
  </sheetData>
  <mergeCells count="7">
    <mergeCell ref="C32:D32"/>
    <mergeCell ref="C5:H5"/>
    <mergeCell ref="C6:H6"/>
    <mergeCell ref="C7:H7"/>
    <mergeCell ref="C11:H11"/>
    <mergeCell ref="C15:H15"/>
    <mergeCell ref="C19:H19"/>
  </mergeCells>
  <pageMargins left="0.75" right="0.75" top="1" bottom="1" header="0.5" footer="0.5"/>
  <pageSetup orientation="portrait" horizontalDpi="4294967292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Spinner 1">
              <controlPr defaultSize="0" autoPict="0">
                <anchor moveWithCells="1" sizeWithCells="1">
                  <from>
                    <xdr:col>6</xdr:col>
                    <xdr:colOff>638175</xdr:colOff>
                    <xdr:row>12</xdr:row>
                    <xdr:rowOff>0</xdr:rowOff>
                  </from>
                  <to>
                    <xdr:col>7</xdr:col>
                    <xdr:colOff>228600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Spinner 2">
              <controlPr defaultSize="0" autoPict="0">
                <anchor moveWithCells="1" sizeWithCells="1">
                  <from>
                    <xdr:col>7</xdr:col>
                    <xdr:colOff>0</xdr:colOff>
                    <xdr:row>8</xdr:row>
                    <xdr:rowOff>0</xdr:rowOff>
                  </from>
                  <to>
                    <xdr:col>7</xdr:col>
                    <xdr:colOff>219075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Spinner 3">
              <controlPr defaultSize="0" autoPict="0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12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Spinner 5">
              <controlPr defaultSize="0" autoPict="0">
                <anchor moveWithCells="1" sizeWithCells="1">
                  <from>
                    <xdr:col>8</xdr:col>
                    <xdr:colOff>1466850</xdr:colOff>
                    <xdr:row>28</xdr:row>
                    <xdr:rowOff>0</xdr:rowOff>
                  </from>
                  <to>
                    <xdr:col>9</xdr:col>
                    <xdr:colOff>228600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Spinner 6">
              <controlPr defaultSize="0" autoPict="0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12</xdr:col>
                    <xdr:colOff>228600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Button 7">
              <controlPr defaultSize="0" print="0" autoFill="0" autoPict="0" macro="[0]!Set_To_Breakeven_Price">
                <anchor moveWithCells="1" sizeWithCells="1">
                  <from>
                    <xdr:col>5</xdr:col>
                    <xdr:colOff>142875</xdr:colOff>
                    <xdr:row>19</xdr:row>
                    <xdr:rowOff>85725</xdr:rowOff>
                  </from>
                  <to>
                    <xdr:col>6</xdr:col>
                    <xdr:colOff>638175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Q41"/>
  <sheetViews>
    <sheetView showGridLines="0" tabSelected="1" zoomScale="80" zoomScaleNormal="80" workbookViewId="0"/>
  </sheetViews>
  <sheetFormatPr defaultRowHeight="15" x14ac:dyDescent="0.25"/>
  <cols>
    <col min="1" max="1" width="10.28515625" customWidth="1"/>
    <col min="2" max="2" width="20.7109375" customWidth="1"/>
    <col min="5" max="5" width="6.7109375" customWidth="1"/>
    <col min="6" max="6" width="14.28515625" customWidth="1"/>
    <col min="7" max="10" width="13.7109375" customWidth="1"/>
    <col min="11" max="11" width="8.42578125" customWidth="1"/>
    <col min="12" max="14" width="10.5703125" customWidth="1"/>
  </cols>
  <sheetData>
    <row r="2" spans="2:14" ht="21" x14ac:dyDescent="0.25">
      <c r="B2" s="5" t="s">
        <v>0</v>
      </c>
      <c r="C2" s="6"/>
      <c r="D2" s="6"/>
      <c r="E2" s="6"/>
      <c r="F2" s="6"/>
      <c r="G2" s="6"/>
    </row>
    <row r="3" spans="2:14" ht="19.5" customHeight="1" x14ac:dyDescent="0.25">
      <c r="B3" s="6"/>
      <c r="C3" s="6"/>
      <c r="D3" s="6"/>
      <c r="E3" s="6"/>
      <c r="F3" s="6"/>
      <c r="G3" s="6"/>
    </row>
    <row r="4" spans="2:14" ht="21" customHeight="1" x14ac:dyDescent="0.25">
      <c r="B4" s="194" t="s">
        <v>12</v>
      </c>
      <c r="C4" s="195"/>
      <c r="D4" s="195"/>
      <c r="E4" s="196"/>
      <c r="F4" s="14"/>
      <c r="G4" s="6"/>
      <c r="K4" s="9"/>
      <c r="L4" s="188" t="s">
        <v>11</v>
      </c>
      <c r="M4" s="189"/>
      <c r="N4" s="190"/>
    </row>
    <row r="5" spans="2:14" ht="21.75" customHeight="1" x14ac:dyDescent="0.25">
      <c r="B5" s="200" t="s">
        <v>16</v>
      </c>
      <c r="C5" s="201"/>
      <c r="D5" s="201"/>
      <c r="E5" s="202"/>
      <c r="F5" s="16">
        <v>2500</v>
      </c>
      <c r="G5" s="7">
        <v>80</v>
      </c>
      <c r="L5" s="34" t="s">
        <v>6</v>
      </c>
      <c r="M5" s="34" t="s">
        <v>7</v>
      </c>
      <c r="N5" s="34" t="s">
        <v>8</v>
      </c>
    </row>
    <row r="6" spans="2:14" ht="21.75" customHeight="1" x14ac:dyDescent="0.25">
      <c r="B6" s="203" t="s">
        <v>17</v>
      </c>
      <c r="C6" s="204"/>
      <c r="D6" s="204"/>
      <c r="E6" s="205"/>
      <c r="F6" s="17">
        <f>G6/1000 - 1</f>
        <v>5.0000000000000044E-2</v>
      </c>
      <c r="G6" s="25">
        <v>1050</v>
      </c>
      <c r="K6" s="24" t="s">
        <v>9</v>
      </c>
      <c r="L6" s="27">
        <v>1000</v>
      </c>
      <c r="M6" s="27">
        <v>3000</v>
      </c>
      <c r="N6" s="27">
        <v>6000</v>
      </c>
    </row>
    <row r="7" spans="2:14" ht="21.75" customHeight="1" x14ac:dyDescent="0.25">
      <c r="B7" s="203" t="s">
        <v>18</v>
      </c>
      <c r="C7" s="204"/>
      <c r="D7" s="204"/>
      <c r="E7" s="205"/>
      <c r="F7" s="10">
        <v>20</v>
      </c>
      <c r="G7" s="6"/>
      <c r="K7" s="24" t="s">
        <v>10</v>
      </c>
      <c r="L7" s="28">
        <v>15000</v>
      </c>
      <c r="M7" s="28">
        <v>22000</v>
      </c>
      <c r="N7" s="28">
        <v>30000</v>
      </c>
    </row>
    <row r="8" spans="2:14" ht="22.5" customHeight="1" x14ac:dyDescent="0.25">
      <c r="B8" s="203" t="s">
        <v>107</v>
      </c>
      <c r="C8" s="204"/>
      <c r="D8" s="204"/>
      <c r="E8" s="205"/>
      <c r="F8" s="10">
        <v>5</v>
      </c>
      <c r="K8" s="24" t="s">
        <v>19</v>
      </c>
      <c r="L8" s="29">
        <v>2000</v>
      </c>
      <c r="M8" s="29">
        <v>3000</v>
      </c>
      <c r="N8" s="29">
        <v>4500</v>
      </c>
    </row>
    <row r="9" spans="2:14" ht="22.5" customHeight="1" x14ac:dyDescent="0.25">
      <c r="H9" s="15"/>
      <c r="K9" s="24" t="s">
        <v>20</v>
      </c>
      <c r="L9" s="29">
        <v>2500</v>
      </c>
      <c r="M9" s="29">
        <v>4000</v>
      </c>
      <c r="N9" s="29">
        <v>6000</v>
      </c>
    </row>
    <row r="10" spans="2:14" ht="22.5" customHeight="1" x14ac:dyDescent="0.25">
      <c r="B10" s="191" t="s">
        <v>13</v>
      </c>
      <c r="C10" s="192"/>
      <c r="D10" s="192"/>
      <c r="E10" s="193"/>
      <c r="F10" s="15"/>
      <c r="G10" s="15"/>
      <c r="H10" s="2"/>
      <c r="K10" s="24" t="s">
        <v>21</v>
      </c>
      <c r="L10" s="29">
        <v>3500</v>
      </c>
      <c r="M10" s="29">
        <v>5500</v>
      </c>
      <c r="N10" s="29">
        <v>7500</v>
      </c>
    </row>
    <row r="11" spans="2:14" ht="35.25" customHeight="1" x14ac:dyDescent="0.25">
      <c r="B11" s="11"/>
      <c r="C11" s="2"/>
      <c r="D11" s="2"/>
      <c r="E11" s="8" t="s">
        <v>1</v>
      </c>
      <c r="F11" s="23">
        <v>0.5</v>
      </c>
      <c r="G11" s="3"/>
      <c r="H11" s="3"/>
      <c r="K11" s="24" t="s">
        <v>108</v>
      </c>
      <c r="L11" s="28">
        <v>1000</v>
      </c>
      <c r="M11" s="28">
        <v>1200</v>
      </c>
      <c r="N11" s="28">
        <v>1500</v>
      </c>
    </row>
    <row r="12" spans="2:14" ht="35.25" customHeight="1" x14ac:dyDescent="0.25">
      <c r="B12" s="197" t="s">
        <v>14</v>
      </c>
      <c r="C12" s="198"/>
      <c r="D12" s="198"/>
      <c r="E12" s="199"/>
      <c r="F12" s="18">
        <v>5000</v>
      </c>
      <c r="G12" s="22">
        <v>3.8</v>
      </c>
      <c r="H12" s="3"/>
      <c r="K12" s="24" t="s">
        <v>22</v>
      </c>
      <c r="L12" s="30">
        <v>2</v>
      </c>
      <c r="M12" s="30">
        <v>2.0499999999999998</v>
      </c>
      <c r="N12" s="30">
        <v>2.2000000000000002</v>
      </c>
    </row>
    <row r="13" spans="2:14" ht="35.25" customHeight="1" x14ac:dyDescent="0.25">
      <c r="B13" s="197" t="s">
        <v>15</v>
      </c>
      <c r="C13" s="198"/>
      <c r="D13" s="198"/>
      <c r="E13" s="199"/>
      <c r="F13" s="18">
        <v>9000</v>
      </c>
      <c r="G13" s="22">
        <v>4.4000000000000004</v>
      </c>
      <c r="H13" s="2"/>
      <c r="K13" s="24" t="s">
        <v>23</v>
      </c>
      <c r="L13" s="31">
        <v>20</v>
      </c>
      <c r="M13" s="31">
        <v>20</v>
      </c>
      <c r="N13" s="31">
        <v>20</v>
      </c>
    </row>
    <row r="14" spans="2:14" ht="22.5" customHeight="1" x14ac:dyDescent="0.25">
      <c r="B14" s="11"/>
      <c r="C14" s="2"/>
      <c r="D14" s="2"/>
      <c r="E14" s="8" t="s">
        <v>2</v>
      </c>
      <c r="F14" s="19">
        <v>0.34</v>
      </c>
      <c r="G14" s="3"/>
      <c r="H14" s="2"/>
    </row>
    <row r="15" spans="2:14" ht="22.5" customHeight="1" x14ac:dyDescent="0.25">
      <c r="B15" s="11"/>
      <c r="C15" s="2"/>
      <c r="D15" s="2"/>
      <c r="E15" s="8" t="s">
        <v>3</v>
      </c>
      <c r="F15" s="19">
        <v>0.12</v>
      </c>
      <c r="G15" s="3"/>
      <c r="H15" s="2"/>
    </row>
    <row r="16" spans="2:14" ht="22.5" customHeight="1" x14ac:dyDescent="0.25">
      <c r="B16" s="11"/>
      <c r="C16" s="2"/>
      <c r="D16" s="2"/>
      <c r="E16" s="8" t="s">
        <v>4</v>
      </c>
      <c r="F16" s="20">
        <v>52</v>
      </c>
      <c r="G16" s="3"/>
      <c r="H16" s="2"/>
    </row>
    <row r="17" spans="2:17" ht="22.5" customHeight="1" x14ac:dyDescent="0.25">
      <c r="B17" s="12"/>
      <c r="C17" s="13"/>
      <c r="D17" s="13"/>
      <c r="E17" s="4" t="s">
        <v>5</v>
      </c>
      <c r="F17" s="21">
        <v>156</v>
      </c>
      <c r="G17" s="2"/>
    </row>
    <row r="18" spans="2:17" ht="41.25" customHeight="1" x14ac:dyDescent="0.3">
      <c r="F18" s="37" t="s">
        <v>40</v>
      </c>
    </row>
    <row r="20" spans="2:17" ht="26.25" customHeight="1" x14ac:dyDescent="0.25">
      <c r="E20" s="8" t="s">
        <v>102</v>
      </c>
      <c r="F20" s="38">
        <v>570</v>
      </c>
    </row>
    <row r="21" spans="2:17" x14ac:dyDescent="0.25">
      <c r="F21" s="9"/>
    </row>
    <row r="22" spans="2:17" ht="18.75" x14ac:dyDescent="0.25">
      <c r="F22" s="187" t="s">
        <v>6</v>
      </c>
      <c r="G22" s="187"/>
      <c r="H22" s="187"/>
      <c r="I22" s="187"/>
      <c r="J22" s="187"/>
    </row>
    <row r="23" spans="2:17" ht="15.75" x14ac:dyDescent="0.25">
      <c r="E23" s="1"/>
      <c r="F23" s="35" t="s">
        <v>24</v>
      </c>
      <c r="G23" s="35" t="s">
        <v>25</v>
      </c>
      <c r="H23" s="35" t="s">
        <v>26</v>
      </c>
      <c r="I23" s="35" t="s">
        <v>27</v>
      </c>
      <c r="J23" s="35" t="s">
        <v>28</v>
      </c>
    </row>
    <row r="24" spans="2:17" ht="19.5" customHeight="1" x14ac:dyDescent="0.25">
      <c r="E24" s="26" t="s">
        <v>29</v>
      </c>
      <c r="F24" s="32">
        <f>F25*$F$16</f>
        <v>130000</v>
      </c>
      <c r="G24" s="32">
        <f>G25*$F$16</f>
        <v>136500</v>
      </c>
      <c r="H24" s="32">
        <f>H25*$F$16</f>
        <v>143325</v>
      </c>
      <c r="I24" s="32">
        <f>I25*$F$16</f>
        <v>150491.25</v>
      </c>
      <c r="J24" s="32">
        <f>J25*$F$16</f>
        <v>158015.8125</v>
      </c>
    </row>
    <row r="25" spans="2:17" ht="19.5" customHeight="1" x14ac:dyDescent="0.25">
      <c r="E25" s="26" t="s">
        <v>30</v>
      </c>
      <c r="F25" s="33">
        <f>F5</f>
        <v>2500</v>
      </c>
      <c r="G25" s="33">
        <f>F25*(1+$F$6)</f>
        <v>2625</v>
      </c>
      <c r="H25" s="33">
        <f t="shared" ref="H25:J25" si="0">G25*(1+$F$6)</f>
        <v>2756.25</v>
      </c>
      <c r="I25" s="33">
        <f t="shared" si="0"/>
        <v>2894.0625</v>
      </c>
      <c r="J25" s="33">
        <f t="shared" si="0"/>
        <v>3038.765625</v>
      </c>
    </row>
    <row r="26" spans="2:17" ht="21.75" customHeight="1" x14ac:dyDescent="0.25">
      <c r="E26" s="26" t="s">
        <v>33</v>
      </c>
      <c r="F26" s="36">
        <v>1000</v>
      </c>
      <c r="G26" s="36">
        <v>1000</v>
      </c>
      <c r="H26" s="36">
        <v>1000</v>
      </c>
      <c r="I26" s="36">
        <v>1000</v>
      </c>
      <c r="J26" s="36">
        <v>1000</v>
      </c>
    </row>
    <row r="27" spans="2:17" ht="21" customHeight="1" x14ac:dyDescent="0.25">
      <c r="E27" s="26" t="s">
        <v>34</v>
      </c>
      <c r="F27" s="33"/>
      <c r="G27" s="33"/>
      <c r="H27" s="33"/>
      <c r="I27" s="33"/>
      <c r="J27" s="33"/>
    </row>
    <row r="28" spans="2:17" ht="21" customHeight="1" x14ac:dyDescent="0.25">
      <c r="E28" s="26" t="s">
        <v>38</v>
      </c>
      <c r="F28" s="33"/>
      <c r="G28" s="33"/>
      <c r="H28" s="33"/>
      <c r="I28" s="33"/>
      <c r="J28" s="33"/>
    </row>
    <row r="29" spans="2:17" ht="21" customHeight="1" x14ac:dyDescent="0.35">
      <c r="E29" s="26" t="s">
        <v>36</v>
      </c>
      <c r="F29" s="215"/>
      <c r="G29" s="215"/>
      <c r="H29" s="215"/>
      <c r="I29" s="215"/>
      <c r="J29" s="215"/>
      <c r="M29" s="96"/>
      <c r="N29" s="97"/>
      <c r="O29" s="97"/>
      <c r="P29" s="97"/>
      <c r="Q29" s="97"/>
    </row>
    <row r="30" spans="2:17" ht="12.75" customHeight="1" x14ac:dyDescent="0.25"/>
    <row r="31" spans="2:17" ht="21" customHeight="1" x14ac:dyDescent="0.25">
      <c r="E31" s="99" t="s">
        <v>31</v>
      </c>
      <c r="F31" s="101"/>
      <c r="G31" s="101"/>
      <c r="H31" s="101"/>
      <c r="I31" s="101"/>
      <c r="J31" s="101"/>
      <c r="L31" s="26"/>
    </row>
    <row r="32" spans="2:17" ht="21" customHeight="1" x14ac:dyDescent="0.25">
      <c r="E32" s="99" t="s">
        <v>32</v>
      </c>
      <c r="F32" s="101"/>
      <c r="G32" s="101"/>
      <c r="H32" s="101"/>
      <c r="I32" s="101"/>
      <c r="J32" s="101"/>
      <c r="L32" s="26"/>
    </row>
    <row r="33" spans="5:12" ht="21" customHeight="1" x14ac:dyDescent="0.25">
      <c r="E33" s="99" t="s">
        <v>35</v>
      </c>
      <c r="F33" s="101"/>
      <c r="G33" s="101"/>
      <c r="H33" s="101"/>
      <c r="I33" s="101"/>
      <c r="J33" s="101"/>
      <c r="L33" s="26"/>
    </row>
    <row r="34" spans="5:12" ht="21" customHeight="1" x14ac:dyDescent="0.25">
      <c r="E34" s="99" t="s">
        <v>37</v>
      </c>
      <c r="F34" s="101"/>
      <c r="G34" s="101"/>
      <c r="H34" s="101"/>
      <c r="I34" s="101"/>
      <c r="J34" s="101"/>
      <c r="L34" s="26"/>
    </row>
    <row r="35" spans="5:12" ht="18.75" customHeight="1" x14ac:dyDescent="0.25">
      <c r="E35" s="99" t="s">
        <v>41</v>
      </c>
      <c r="F35" s="175"/>
      <c r="G35" s="175"/>
      <c r="H35" s="175"/>
      <c r="I35" s="175"/>
      <c r="J35" s="175"/>
    </row>
    <row r="36" spans="5:12" ht="18.75" customHeight="1" x14ac:dyDescent="0.25">
      <c r="E36" s="99" t="s">
        <v>108</v>
      </c>
      <c r="F36" s="101"/>
      <c r="G36" s="101"/>
      <c r="H36" s="101"/>
      <c r="I36" s="101"/>
      <c r="J36" s="101"/>
    </row>
    <row r="37" spans="5:12" ht="9" customHeight="1" x14ac:dyDescent="0.25"/>
    <row r="38" spans="5:12" ht="22.5" customHeight="1" x14ac:dyDescent="0.25">
      <c r="E38" s="99" t="s">
        <v>103</v>
      </c>
      <c r="F38" s="101"/>
      <c r="G38" s="101"/>
      <c r="H38" s="101"/>
      <c r="I38" s="101"/>
      <c r="J38" s="101"/>
    </row>
    <row r="39" spans="5:12" ht="22.5" customHeight="1" x14ac:dyDescent="0.25">
      <c r="E39" s="99" t="s">
        <v>39</v>
      </c>
      <c r="F39" s="101"/>
      <c r="G39" s="101"/>
      <c r="H39" s="101"/>
      <c r="I39" s="101"/>
      <c r="J39" s="101"/>
    </row>
    <row r="40" spans="5:12" ht="13.5" customHeight="1" thickBot="1" x14ac:dyDescent="0.3">
      <c r="E40" s="100"/>
      <c r="F40" s="98"/>
      <c r="G40" s="98"/>
      <c r="H40" s="98"/>
      <c r="I40" s="98"/>
      <c r="J40" s="98"/>
    </row>
    <row r="41" spans="5:12" ht="22.5" customHeight="1" thickBot="1" x14ac:dyDescent="0.3">
      <c r="E41" s="99" t="str">
        <f>"NPW of Revenues and Operating Costs for Years 1-"&amp;Contract_Length&amp;":"</f>
        <v>NPW of Revenues and Operating Costs for Years 1-5:</v>
      </c>
      <c r="F41" s="102"/>
      <c r="G41" s="98"/>
      <c r="H41" s="98"/>
      <c r="I41" s="98"/>
      <c r="J41" s="98"/>
    </row>
  </sheetData>
  <mergeCells count="10">
    <mergeCell ref="F22:J22"/>
    <mergeCell ref="L4:N4"/>
    <mergeCell ref="B10:E10"/>
    <mergeCell ref="B4:E4"/>
    <mergeCell ref="B12:E12"/>
    <mergeCell ref="B13:E13"/>
    <mergeCell ref="B5:E5"/>
    <mergeCell ref="B6:E6"/>
    <mergeCell ref="B7:E7"/>
    <mergeCell ref="B8:E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Spinner 5">
              <controlPr defaultSize="0" autoPict="0">
                <anchor moveWithCells="1" siz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6</xdr:col>
                    <xdr:colOff>152400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4" name="Spinner 6">
              <controlPr defaultSize="0" autoPict="0">
                <anchor moveWithCells="1" siz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6</xdr:col>
                    <xdr:colOff>152400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Spinner 7">
              <controlPr defaultSize="0" autoPict="0">
                <anchor moveWithCells="1" sizeWithCells="1">
                  <from>
                    <xdr:col>6</xdr:col>
                    <xdr:colOff>0</xdr:colOff>
                    <xdr:row>6</xdr:row>
                    <xdr:rowOff>0</xdr:rowOff>
                  </from>
                  <to>
                    <xdr:col>6</xdr:col>
                    <xdr:colOff>152400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X56"/>
  <sheetViews>
    <sheetView zoomScale="80" zoomScaleNormal="80" workbookViewId="0"/>
  </sheetViews>
  <sheetFormatPr defaultRowHeight="12.75" x14ac:dyDescent="0.2"/>
  <cols>
    <col min="1" max="1" width="4" style="39" customWidth="1"/>
    <col min="2" max="2" width="40" style="39" customWidth="1"/>
    <col min="3" max="3" width="12.5703125" style="39" customWidth="1"/>
    <col min="4" max="4" width="10.7109375" style="39" customWidth="1"/>
    <col min="5" max="5" width="12.28515625" style="39" customWidth="1"/>
    <col min="6" max="24" width="10.7109375" style="39" customWidth="1"/>
    <col min="25" max="16384" width="9.140625" style="39"/>
  </cols>
  <sheetData>
    <row r="1" spans="2:9" ht="27" customHeight="1" x14ac:dyDescent="0.2">
      <c r="B1" s="5" t="s">
        <v>42</v>
      </c>
    </row>
    <row r="3" spans="2:9" ht="15.75" customHeight="1" x14ac:dyDescent="0.2">
      <c r="B3" s="40"/>
      <c r="C3" s="206" t="str">
        <f>'New Customer Pricing'!L4</f>
        <v>Tank Attributes</v>
      </c>
      <c r="D3" s="207"/>
      <c r="E3" s="208"/>
    </row>
    <row r="4" spans="2:9" ht="25.5" customHeight="1" x14ac:dyDescent="0.25">
      <c r="B4" s="41"/>
      <c r="C4" s="42" t="str">
        <f>'New Customer Pricing'!L5</f>
        <v>LA-1</v>
      </c>
      <c r="D4" s="42" t="str">
        <f>'New Customer Pricing'!M5</f>
        <v>LA-3</v>
      </c>
      <c r="E4" s="42" t="str">
        <f>'New Customer Pricing'!N5</f>
        <v>LA-6</v>
      </c>
    </row>
    <row r="5" spans="2:9" ht="25.5" customHeight="1" x14ac:dyDescent="0.2">
      <c r="B5" s="43" t="str">
        <f>'New Customer Pricing'!K6</f>
        <v>Capacity (Gallons):</v>
      </c>
      <c r="C5" s="44">
        <f>'New Customer Pricing'!L6</f>
        <v>1000</v>
      </c>
      <c r="D5" s="44">
        <f>'New Customer Pricing'!M6</f>
        <v>3000</v>
      </c>
      <c r="E5" s="44">
        <f>'New Customer Pricing'!N6</f>
        <v>6000</v>
      </c>
    </row>
    <row r="6" spans="2:9" ht="25.5" customHeight="1" x14ac:dyDescent="0.2">
      <c r="B6" s="43" t="str">
        <f>'New Customer Pricing'!K7</f>
        <v>Acquisition Cost:</v>
      </c>
      <c r="C6" s="45">
        <f>'New Customer Pricing'!L7</f>
        <v>15000</v>
      </c>
      <c r="D6" s="45">
        <f>'New Customer Pricing'!M7</f>
        <v>22000</v>
      </c>
      <c r="E6" s="45">
        <f>'New Customer Pricing'!N7</f>
        <v>30000</v>
      </c>
    </row>
    <row r="7" spans="2:9" ht="25.5" customHeight="1" x14ac:dyDescent="0.2">
      <c r="B7" s="43" t="str">
        <f>'New Customer Pricing'!K8</f>
        <v>5-year Refurbishment:</v>
      </c>
      <c r="C7" s="46">
        <f>'New Customer Pricing'!L8</f>
        <v>2000</v>
      </c>
      <c r="D7" s="46">
        <f>'New Customer Pricing'!M8</f>
        <v>3000</v>
      </c>
      <c r="E7" s="46">
        <f>'New Customer Pricing'!N8</f>
        <v>4500</v>
      </c>
    </row>
    <row r="8" spans="2:9" ht="24" customHeight="1" x14ac:dyDescent="0.2">
      <c r="B8" s="43" t="str">
        <f>'New Customer Pricing'!K9</f>
        <v>10-year Refurbishment:</v>
      </c>
      <c r="C8" s="46">
        <f>'New Customer Pricing'!L9</f>
        <v>2500</v>
      </c>
      <c r="D8" s="46">
        <f>'New Customer Pricing'!M9</f>
        <v>4000</v>
      </c>
      <c r="E8" s="46">
        <f>'New Customer Pricing'!N9</f>
        <v>6000</v>
      </c>
    </row>
    <row r="9" spans="2:9" ht="31.5" customHeight="1" x14ac:dyDescent="0.2">
      <c r="B9" s="43" t="str">
        <f>'New Customer Pricing'!K10</f>
        <v>15-year Refurbishment:</v>
      </c>
      <c r="C9" s="46">
        <f>'New Customer Pricing'!L10</f>
        <v>3500</v>
      </c>
      <c r="D9" s="46">
        <f>'New Customer Pricing'!M10</f>
        <v>5500</v>
      </c>
      <c r="E9" s="46">
        <f>'New Customer Pricing'!N10</f>
        <v>7500</v>
      </c>
    </row>
    <row r="10" spans="2:9" ht="8.25" customHeight="1" x14ac:dyDescent="0.2">
      <c r="B10" s="43"/>
      <c r="C10" s="216"/>
      <c r="D10" s="216"/>
      <c r="E10" s="216"/>
    </row>
    <row r="11" spans="2:9" ht="24" customHeight="1" x14ac:dyDescent="0.2">
      <c r="B11" s="43" t="str">
        <f>'New Customer Pricing'!K13</f>
        <v>Tank Life (Years):</v>
      </c>
      <c r="C11" s="47">
        <f>'New Customer Pricing'!L13</f>
        <v>20</v>
      </c>
      <c r="D11" s="47">
        <f>'New Customer Pricing'!M13</f>
        <v>20</v>
      </c>
      <c r="E11" s="47">
        <f>'New Customer Pricing'!N13</f>
        <v>20</v>
      </c>
    </row>
    <row r="12" spans="2:9" ht="22.5" customHeight="1" x14ac:dyDescent="0.2"/>
    <row r="13" spans="2:9" ht="15" x14ac:dyDescent="0.2">
      <c r="C13" s="48" t="str">
        <f>'New Customer Pricing'!E14</f>
        <v>Marginal Income Tax Rate:</v>
      </c>
      <c r="D13" s="49">
        <f>'New Customer Pricing'!F14</f>
        <v>0.34</v>
      </c>
    </row>
    <row r="14" spans="2:9" ht="15" x14ac:dyDescent="0.2">
      <c r="C14" s="48" t="str">
        <f>'New Customer Pricing'!E15</f>
        <v>After-Tax Minimum Attractive Rate of Return:</v>
      </c>
      <c r="D14" s="49">
        <f>'New Customer Pricing'!F15</f>
        <v>0.12</v>
      </c>
    </row>
    <row r="15" spans="2:9" ht="18.75" customHeight="1" x14ac:dyDescent="0.2">
      <c r="B15" s="50"/>
      <c r="C15" s="50"/>
    </row>
    <row r="16" spans="2:9" ht="18" customHeight="1" x14ac:dyDescent="0.25">
      <c r="B16" s="50"/>
      <c r="C16" s="50"/>
      <c r="D16" s="209" t="s">
        <v>43</v>
      </c>
      <c r="E16" s="210"/>
      <c r="F16" s="210"/>
      <c r="G16" s="210"/>
      <c r="H16" s="210"/>
      <c r="I16" s="211"/>
    </row>
    <row r="17" spans="2:24" ht="18" customHeight="1" x14ac:dyDescent="0.2">
      <c r="B17" s="50"/>
      <c r="C17" s="50"/>
      <c r="D17" s="51" t="s">
        <v>24</v>
      </c>
      <c r="E17" s="51" t="s">
        <v>25</v>
      </c>
      <c r="F17" s="51" t="s">
        <v>26</v>
      </c>
      <c r="G17" s="51" t="s">
        <v>27</v>
      </c>
      <c r="H17" s="51" t="s">
        <v>28</v>
      </c>
      <c r="I17" s="51" t="s">
        <v>44</v>
      </c>
    </row>
    <row r="18" spans="2:24" ht="18" customHeight="1" x14ac:dyDescent="0.2">
      <c r="B18" s="50"/>
      <c r="C18" s="50"/>
      <c r="D18" s="52">
        <v>0.2</v>
      </c>
      <c r="E18" s="52">
        <v>0.32</v>
      </c>
      <c r="F18" s="52">
        <v>0.192</v>
      </c>
      <c r="G18" s="52">
        <v>0.1152</v>
      </c>
      <c r="H18" s="52">
        <v>0.1152</v>
      </c>
      <c r="I18" s="52">
        <v>5.7599999999999998E-2</v>
      </c>
    </row>
    <row r="19" spans="2:24" ht="21" customHeight="1" x14ac:dyDescent="0.2">
      <c r="B19" s="50"/>
      <c r="C19" s="50"/>
    </row>
    <row r="20" spans="2:24" ht="18.75" x14ac:dyDescent="0.3">
      <c r="B20" s="50"/>
      <c r="C20" s="212" t="s">
        <v>45</v>
      </c>
      <c r="D20" s="213"/>
      <c r="E20" s="213"/>
      <c r="F20" s="213"/>
      <c r="G20" s="213"/>
      <c r="H20" s="213"/>
      <c r="I20" s="213"/>
      <c r="J20" s="213"/>
      <c r="K20" s="213"/>
      <c r="L20" s="213"/>
      <c r="M20" s="213"/>
      <c r="N20" s="213"/>
      <c r="O20" s="213"/>
      <c r="P20" s="213"/>
      <c r="Q20" s="213"/>
      <c r="R20" s="213"/>
      <c r="S20" s="213"/>
      <c r="T20" s="213"/>
      <c r="U20" s="213"/>
      <c r="V20" s="213"/>
      <c r="W20" s="213"/>
      <c r="X20" s="214"/>
    </row>
    <row r="21" spans="2:24" ht="15.75" x14ac:dyDescent="0.25">
      <c r="B21" s="53" t="s">
        <v>46</v>
      </c>
      <c r="C21" s="54">
        <v>0</v>
      </c>
      <c r="D21" s="54">
        <v>1</v>
      </c>
      <c r="E21" s="54">
        <v>2</v>
      </c>
      <c r="F21" s="54">
        <v>3</v>
      </c>
      <c r="G21" s="54">
        <v>4</v>
      </c>
      <c r="H21" s="54">
        <v>5</v>
      </c>
      <c r="I21" s="55">
        <v>6</v>
      </c>
      <c r="J21" s="55">
        <v>7</v>
      </c>
      <c r="K21" s="55">
        <v>8</v>
      </c>
      <c r="L21" s="55">
        <v>9</v>
      </c>
      <c r="M21" s="55">
        <v>10</v>
      </c>
      <c r="N21" s="55">
        <v>11</v>
      </c>
      <c r="O21" s="55">
        <v>12</v>
      </c>
      <c r="P21" s="55">
        <v>13</v>
      </c>
      <c r="Q21" s="55">
        <v>14</v>
      </c>
      <c r="R21" s="55">
        <v>15</v>
      </c>
      <c r="S21" s="55">
        <v>16</v>
      </c>
      <c r="T21" s="55">
        <v>17</v>
      </c>
      <c r="U21" s="55">
        <v>18</v>
      </c>
      <c r="V21" s="55">
        <v>19</v>
      </c>
      <c r="W21" s="55">
        <v>20</v>
      </c>
      <c r="X21" s="55">
        <v>21</v>
      </c>
    </row>
    <row r="22" spans="2:24" ht="15.75" x14ac:dyDescent="0.25">
      <c r="B22" s="56" t="s">
        <v>47</v>
      </c>
      <c r="C22" s="57"/>
      <c r="D22" s="58"/>
      <c r="E22" s="58"/>
      <c r="F22" s="58"/>
      <c r="G22" s="58"/>
      <c r="H22" s="59"/>
      <c r="I22" s="60"/>
      <c r="J22" s="60"/>
      <c r="K22" s="60"/>
      <c r="L22" s="60"/>
      <c r="M22" s="60"/>
      <c r="N22" s="60"/>
      <c r="O22" s="60"/>
      <c r="P22" s="60"/>
      <c r="Q22" s="60"/>
      <c r="R22" s="60"/>
      <c r="S22" s="60"/>
      <c r="T22" s="60"/>
      <c r="U22" s="60"/>
      <c r="V22" s="60"/>
      <c r="W22" s="60"/>
      <c r="X22" s="61"/>
    </row>
    <row r="23" spans="2:24" x14ac:dyDescent="0.2">
      <c r="B23" s="62" t="s">
        <v>48</v>
      </c>
      <c r="C23" s="63"/>
      <c r="D23" s="64"/>
      <c r="E23" s="65"/>
      <c r="F23" s="65"/>
      <c r="G23" s="65"/>
      <c r="H23" s="65"/>
      <c r="I23" s="65"/>
      <c r="J23" s="65"/>
      <c r="K23" s="65"/>
      <c r="L23" s="65"/>
      <c r="M23" s="65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6"/>
    </row>
    <row r="24" spans="2:24" x14ac:dyDescent="0.2">
      <c r="B24" s="62" t="s">
        <v>49</v>
      </c>
      <c r="C24" s="67"/>
      <c r="D24" s="68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  <c r="P24" s="69"/>
      <c r="Q24" s="69"/>
      <c r="R24" s="69"/>
      <c r="S24" s="69"/>
      <c r="T24" s="69"/>
      <c r="U24" s="69"/>
      <c r="V24" s="69"/>
      <c r="W24" s="69"/>
      <c r="X24" s="70"/>
    </row>
    <row r="25" spans="2:24" x14ac:dyDescent="0.2">
      <c r="B25" s="71" t="s">
        <v>50</v>
      </c>
      <c r="C25" s="67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6"/>
    </row>
    <row r="26" spans="2:24" x14ac:dyDescent="0.2">
      <c r="B26" s="71" t="s">
        <v>51</v>
      </c>
      <c r="C26" s="72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6"/>
    </row>
    <row r="27" spans="2:24" x14ac:dyDescent="0.2">
      <c r="B27" s="71" t="s">
        <v>52</v>
      </c>
      <c r="C27" s="72"/>
      <c r="D27" s="64"/>
      <c r="E27" s="65"/>
      <c r="F27" s="65"/>
      <c r="G27" s="65"/>
      <c r="H27" s="65"/>
      <c r="I27" s="65"/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6"/>
    </row>
    <row r="28" spans="2:24" x14ac:dyDescent="0.2">
      <c r="B28" s="71" t="s">
        <v>111</v>
      </c>
      <c r="C28" s="72"/>
      <c r="D28" s="64"/>
      <c r="E28" s="65"/>
      <c r="F28" s="65"/>
      <c r="G28" s="65"/>
      <c r="H28" s="65"/>
      <c r="I28" s="65"/>
      <c r="J28" s="65"/>
      <c r="K28" s="65"/>
      <c r="L28" s="65"/>
      <c r="M28" s="65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6"/>
    </row>
    <row r="29" spans="2:24" x14ac:dyDescent="0.2">
      <c r="B29" s="71" t="s">
        <v>53</v>
      </c>
      <c r="C29" s="72"/>
      <c r="D29" s="73"/>
      <c r="E29" s="73"/>
      <c r="F29" s="73"/>
      <c r="G29" s="73"/>
      <c r="H29" s="73"/>
      <c r="I29" s="73"/>
      <c r="J29" s="69"/>
      <c r="K29" s="69"/>
      <c r="L29" s="69"/>
      <c r="M29" s="69"/>
      <c r="N29" s="69"/>
      <c r="O29" s="69"/>
      <c r="P29" s="69"/>
      <c r="Q29" s="69"/>
      <c r="R29" s="69"/>
      <c r="S29" s="69"/>
      <c r="T29" s="69"/>
      <c r="U29" s="69"/>
      <c r="V29" s="69"/>
      <c r="W29" s="69"/>
      <c r="X29" s="70"/>
    </row>
    <row r="30" spans="2:24" x14ac:dyDescent="0.2">
      <c r="B30" s="71" t="s">
        <v>54</v>
      </c>
      <c r="C30" s="72"/>
      <c r="D30" s="74"/>
      <c r="E30" s="69"/>
      <c r="F30" s="69"/>
      <c r="G30" s="69"/>
      <c r="H30" s="69"/>
      <c r="I30" s="73"/>
      <c r="J30" s="73"/>
      <c r="K30" s="73"/>
      <c r="L30" s="73"/>
      <c r="M30" s="73"/>
      <c r="N30" s="73"/>
      <c r="O30" s="69"/>
      <c r="P30" s="69"/>
      <c r="Q30" s="69"/>
      <c r="R30" s="69"/>
      <c r="S30" s="69"/>
      <c r="T30" s="69"/>
      <c r="U30" s="69"/>
      <c r="V30" s="69"/>
      <c r="W30" s="69"/>
      <c r="X30" s="70"/>
    </row>
    <row r="31" spans="2:24" x14ac:dyDescent="0.2">
      <c r="B31" s="71" t="s">
        <v>55</v>
      </c>
      <c r="C31" s="72"/>
      <c r="D31" s="74"/>
      <c r="E31" s="69"/>
      <c r="F31" s="69"/>
      <c r="G31" s="69"/>
      <c r="H31" s="69"/>
      <c r="I31" s="69"/>
      <c r="J31" s="69"/>
      <c r="K31" s="69"/>
      <c r="L31" s="69"/>
      <c r="M31" s="69"/>
      <c r="N31" s="73"/>
      <c r="O31" s="73"/>
      <c r="P31" s="73"/>
      <c r="Q31" s="73"/>
      <c r="R31" s="73"/>
      <c r="S31" s="73"/>
      <c r="T31" s="69"/>
      <c r="U31" s="69"/>
      <c r="V31" s="69"/>
      <c r="W31" s="69"/>
      <c r="X31" s="70"/>
    </row>
    <row r="32" spans="2:24" x14ac:dyDescent="0.2">
      <c r="B32" s="71" t="s">
        <v>56</v>
      </c>
      <c r="C32" s="72"/>
      <c r="D32" s="74"/>
      <c r="E32" s="69"/>
      <c r="F32" s="69"/>
      <c r="G32" s="69"/>
      <c r="H32" s="75"/>
      <c r="I32" s="69"/>
      <c r="J32" s="69"/>
      <c r="K32" s="69"/>
      <c r="L32" s="69"/>
      <c r="M32" s="69"/>
      <c r="N32" s="69"/>
      <c r="O32" s="69"/>
      <c r="P32" s="69"/>
      <c r="Q32" s="69"/>
      <c r="R32" s="69"/>
      <c r="S32" s="73"/>
      <c r="T32" s="73"/>
      <c r="U32" s="73"/>
      <c r="V32" s="73"/>
      <c r="W32" s="73"/>
      <c r="X32" s="73"/>
    </row>
    <row r="33" spans="2:24" x14ac:dyDescent="0.2">
      <c r="B33" s="62" t="s">
        <v>57</v>
      </c>
      <c r="C33" s="72"/>
      <c r="D33" s="77"/>
      <c r="E33" s="77"/>
      <c r="F33" s="77"/>
      <c r="G33" s="77"/>
      <c r="H33" s="77"/>
      <c r="I33" s="77"/>
      <c r="J33" s="77"/>
      <c r="K33" s="77"/>
      <c r="L33" s="77"/>
      <c r="M33" s="77"/>
      <c r="N33" s="77"/>
      <c r="O33" s="77"/>
      <c r="P33" s="77"/>
      <c r="Q33" s="77"/>
      <c r="R33" s="77"/>
      <c r="S33" s="77"/>
      <c r="T33" s="77"/>
      <c r="U33" s="77"/>
      <c r="V33" s="77"/>
      <c r="W33" s="77"/>
      <c r="X33" s="77"/>
    </row>
    <row r="34" spans="2:24" x14ac:dyDescent="0.2">
      <c r="B34" s="62" t="s">
        <v>58</v>
      </c>
      <c r="C34" s="72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</row>
    <row r="35" spans="2:24" ht="13.5" thickBot="1" x14ac:dyDescent="0.25">
      <c r="B35" s="62" t="s">
        <v>59</v>
      </c>
      <c r="C35" s="72"/>
      <c r="D35" s="79"/>
      <c r="E35" s="79"/>
      <c r="F35" s="79"/>
      <c r="G35" s="79"/>
      <c r="H35" s="79"/>
      <c r="I35" s="79"/>
      <c r="J35" s="79"/>
      <c r="K35" s="79"/>
      <c r="L35" s="79"/>
      <c r="M35" s="79"/>
      <c r="N35" s="79"/>
      <c r="O35" s="79"/>
      <c r="P35" s="79"/>
      <c r="Q35" s="79"/>
      <c r="R35" s="79"/>
      <c r="S35" s="79"/>
      <c r="T35" s="79"/>
      <c r="U35" s="79"/>
      <c r="V35" s="79"/>
      <c r="W35" s="79"/>
      <c r="X35" s="79"/>
    </row>
    <row r="36" spans="2:24" ht="13.5" thickTop="1" x14ac:dyDescent="0.2">
      <c r="B36" s="80"/>
      <c r="C36" s="81"/>
      <c r="D36" s="82"/>
      <c r="E36" s="82"/>
      <c r="F36" s="82"/>
      <c r="G36" s="82"/>
      <c r="H36" s="82"/>
      <c r="I36" s="82"/>
      <c r="J36" s="82"/>
      <c r="K36" s="82"/>
      <c r="L36" s="82"/>
      <c r="M36" s="82"/>
      <c r="N36" s="82"/>
      <c r="O36" s="82"/>
      <c r="P36" s="82"/>
      <c r="Q36" s="82"/>
      <c r="R36" s="82"/>
      <c r="S36" s="82"/>
      <c r="T36" s="82"/>
      <c r="U36" s="82"/>
      <c r="V36" s="82"/>
      <c r="W36" s="82"/>
      <c r="X36" s="83"/>
    </row>
    <row r="37" spans="2:24" ht="15.75" x14ac:dyDescent="0.25">
      <c r="B37" s="56" t="s">
        <v>60</v>
      </c>
      <c r="C37" s="84"/>
      <c r="D37" s="85"/>
      <c r="E37" s="85"/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  <c r="S37" s="85"/>
      <c r="T37" s="85"/>
      <c r="U37" s="85"/>
      <c r="V37" s="85"/>
      <c r="W37" s="85"/>
      <c r="X37" s="86"/>
    </row>
    <row r="38" spans="2:24" x14ac:dyDescent="0.2">
      <c r="B38" s="87" t="s">
        <v>61</v>
      </c>
      <c r="C38" s="67"/>
      <c r="D38" s="68"/>
      <c r="E38" s="68"/>
      <c r="F38" s="68"/>
      <c r="G38" s="68"/>
      <c r="H38" s="68"/>
      <c r="I38" s="68"/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88"/>
    </row>
    <row r="39" spans="2:24" x14ac:dyDescent="0.2">
      <c r="B39" s="62" t="s">
        <v>62</v>
      </c>
      <c r="C39" s="72"/>
      <c r="D39" s="73"/>
      <c r="E39" s="73"/>
      <c r="F39" s="73"/>
      <c r="G39" s="73"/>
      <c r="H39" s="73"/>
      <c r="I39" s="73"/>
      <c r="J39" s="73"/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3"/>
      <c r="V39" s="73"/>
      <c r="W39" s="73"/>
      <c r="X39" s="76"/>
    </row>
    <row r="40" spans="2:24" x14ac:dyDescent="0.2">
      <c r="B40" s="71" t="s">
        <v>53</v>
      </c>
      <c r="C40" s="72"/>
      <c r="D40" s="73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</row>
    <row r="41" spans="2:24" x14ac:dyDescent="0.2">
      <c r="B41" s="71" t="s">
        <v>54</v>
      </c>
      <c r="C41" s="72"/>
      <c r="D41" s="73"/>
      <c r="E41" s="73"/>
      <c r="F41" s="73"/>
      <c r="G41" s="73"/>
      <c r="H41" s="73"/>
      <c r="I41" s="73"/>
      <c r="J41" s="73"/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3"/>
      <c r="V41" s="73"/>
      <c r="W41" s="73"/>
      <c r="X41" s="73"/>
    </row>
    <row r="42" spans="2:24" x14ac:dyDescent="0.2">
      <c r="B42" s="71" t="s">
        <v>55</v>
      </c>
      <c r="C42" s="72"/>
      <c r="D42" s="73"/>
      <c r="E42" s="73"/>
      <c r="F42" s="73"/>
      <c r="G42" s="73"/>
      <c r="H42" s="73"/>
      <c r="I42" s="73"/>
      <c r="J42" s="73"/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3"/>
      <c r="V42" s="73"/>
      <c r="W42" s="73"/>
      <c r="X42" s="73"/>
    </row>
    <row r="43" spans="2:24" x14ac:dyDescent="0.2">
      <c r="B43" s="71" t="s">
        <v>56</v>
      </c>
      <c r="C43" s="72"/>
      <c r="D43" s="73"/>
      <c r="E43" s="73"/>
      <c r="F43" s="73"/>
      <c r="G43" s="73"/>
      <c r="H43" s="73"/>
      <c r="I43" s="73"/>
      <c r="J43" s="73"/>
      <c r="K43" s="73"/>
      <c r="L43" s="73"/>
      <c r="M43" s="73"/>
      <c r="N43" s="73"/>
      <c r="O43" s="73"/>
      <c r="P43" s="73"/>
      <c r="Q43" s="73"/>
      <c r="R43" s="73"/>
      <c r="S43" s="73"/>
      <c r="T43" s="73"/>
      <c r="U43" s="73"/>
      <c r="V43" s="73"/>
      <c r="W43" s="73"/>
      <c r="X43" s="73"/>
    </row>
    <row r="44" spans="2:24" x14ac:dyDescent="0.2">
      <c r="B44" s="62"/>
      <c r="C44" s="72"/>
      <c r="D44" s="74"/>
      <c r="E44" s="69"/>
      <c r="F44" s="69"/>
      <c r="G44" s="69"/>
      <c r="H44" s="69"/>
      <c r="I44" s="69"/>
      <c r="J44" s="69"/>
      <c r="K44" s="69"/>
      <c r="L44" s="69"/>
      <c r="M44" s="69"/>
      <c r="N44" s="69"/>
      <c r="O44" s="69"/>
      <c r="P44" s="69"/>
      <c r="Q44" s="69"/>
      <c r="R44" s="69"/>
      <c r="S44" s="69"/>
      <c r="T44" s="69"/>
      <c r="U44" s="69"/>
      <c r="V44" s="69"/>
      <c r="W44" s="69"/>
      <c r="X44" s="70"/>
    </row>
    <row r="45" spans="2:24" x14ac:dyDescent="0.2">
      <c r="B45" s="87" t="s">
        <v>63</v>
      </c>
      <c r="C45" s="72"/>
      <c r="D45" s="74"/>
      <c r="E45" s="69"/>
      <c r="F45" s="69"/>
      <c r="G45" s="69"/>
      <c r="H45" s="69"/>
      <c r="I45" s="69"/>
      <c r="J45" s="69"/>
      <c r="K45" s="69"/>
      <c r="L45" s="69"/>
      <c r="M45" s="69"/>
      <c r="N45" s="69"/>
      <c r="O45" s="69"/>
      <c r="P45" s="69"/>
      <c r="Q45" s="69"/>
      <c r="R45" s="69"/>
      <c r="S45" s="69"/>
      <c r="T45" s="69"/>
      <c r="U45" s="69"/>
      <c r="V45" s="69"/>
      <c r="W45" s="69"/>
      <c r="X45" s="70"/>
    </row>
    <row r="46" spans="2:24" x14ac:dyDescent="0.2">
      <c r="B46" s="71" t="s">
        <v>64</v>
      </c>
      <c r="C46" s="89">
        <f>-$C$6</f>
        <v>-15000</v>
      </c>
      <c r="D46" s="74"/>
      <c r="E46" s="69"/>
      <c r="F46" s="69"/>
      <c r="G46" s="69"/>
      <c r="H46" s="69"/>
      <c r="I46" s="69"/>
      <c r="J46" s="69"/>
      <c r="K46" s="69"/>
      <c r="L46" s="69"/>
      <c r="M46" s="69"/>
      <c r="N46" s="69"/>
      <c r="O46" s="69"/>
      <c r="P46" s="69"/>
      <c r="Q46" s="69"/>
      <c r="R46" s="69"/>
      <c r="S46" s="69"/>
      <c r="T46" s="69"/>
      <c r="U46" s="69"/>
      <c r="V46" s="69"/>
      <c r="W46" s="69"/>
      <c r="X46" s="70"/>
    </row>
    <row r="47" spans="2:24" x14ac:dyDescent="0.2">
      <c r="B47" s="71" t="s">
        <v>65</v>
      </c>
      <c r="C47" s="72"/>
      <c r="D47" s="74"/>
      <c r="E47" s="69"/>
      <c r="F47" s="69"/>
      <c r="G47" s="69"/>
      <c r="H47" s="73">
        <f>-$C$7</f>
        <v>-2000</v>
      </c>
      <c r="I47" s="69"/>
      <c r="J47" s="69"/>
      <c r="K47" s="69"/>
      <c r="L47" s="69"/>
      <c r="M47" s="73">
        <f>-$C$8</f>
        <v>-2500</v>
      </c>
      <c r="N47" s="69"/>
      <c r="O47" s="69"/>
      <c r="P47" s="69"/>
      <c r="Q47" s="69"/>
      <c r="R47" s="73">
        <f>-$C$9</f>
        <v>-3500</v>
      </c>
      <c r="S47" s="69"/>
      <c r="T47" s="69"/>
      <c r="U47" s="69"/>
      <c r="V47" s="69"/>
      <c r="W47" s="69"/>
      <c r="X47" s="70"/>
    </row>
    <row r="48" spans="2:24" x14ac:dyDescent="0.2">
      <c r="B48" s="71" t="s">
        <v>66</v>
      </c>
      <c r="C48" s="72"/>
      <c r="D48" s="64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6"/>
    </row>
    <row r="49" spans="2:24" x14ac:dyDescent="0.2">
      <c r="B49" s="71"/>
      <c r="C49" s="72"/>
      <c r="D49" s="74"/>
      <c r="E49" s="69"/>
      <c r="F49" s="69"/>
      <c r="G49" s="69"/>
      <c r="H49" s="69"/>
      <c r="I49" s="69"/>
      <c r="J49" s="69"/>
      <c r="K49" s="69"/>
      <c r="L49" s="69"/>
      <c r="M49" s="69"/>
      <c r="N49" s="69"/>
      <c r="O49" s="69"/>
      <c r="P49" s="69"/>
      <c r="Q49" s="69"/>
      <c r="R49" s="69"/>
      <c r="S49" s="69"/>
      <c r="T49" s="69"/>
      <c r="U49" s="69"/>
      <c r="V49" s="69"/>
      <c r="W49" s="69"/>
      <c r="X49" s="70"/>
    </row>
    <row r="50" spans="2:24" x14ac:dyDescent="0.2">
      <c r="B50" s="90" t="s">
        <v>67</v>
      </c>
      <c r="C50" s="72"/>
      <c r="D50" s="74"/>
      <c r="E50" s="69"/>
      <c r="F50" s="69"/>
      <c r="G50" s="69"/>
      <c r="H50" s="69"/>
      <c r="I50" s="69"/>
      <c r="J50" s="69"/>
      <c r="K50" s="69"/>
      <c r="L50" s="69"/>
      <c r="M50" s="69"/>
      <c r="N50" s="69"/>
      <c r="O50" s="69"/>
      <c r="P50" s="69"/>
      <c r="Q50" s="69"/>
      <c r="R50" s="69"/>
      <c r="S50" s="69"/>
      <c r="T50" s="69"/>
      <c r="U50" s="69"/>
      <c r="V50" s="69"/>
      <c r="W50" s="69"/>
      <c r="X50" s="70"/>
    </row>
    <row r="51" spans="2:24" x14ac:dyDescent="0.2">
      <c r="B51" s="71" t="s">
        <v>68</v>
      </c>
      <c r="C51" s="72"/>
      <c r="D51" s="74"/>
      <c r="E51" s="69"/>
      <c r="F51" s="69"/>
      <c r="G51" s="69"/>
      <c r="H51" s="69"/>
      <c r="I51" s="69"/>
      <c r="J51" s="69"/>
      <c r="K51" s="69"/>
      <c r="L51" s="69"/>
      <c r="M51" s="69"/>
      <c r="N51" s="69"/>
      <c r="O51" s="69"/>
      <c r="P51" s="69"/>
      <c r="Q51" s="69"/>
      <c r="R51" s="69"/>
      <c r="S51" s="69"/>
      <c r="T51" s="69"/>
      <c r="U51" s="69"/>
      <c r="V51" s="69"/>
      <c r="W51" s="69"/>
      <c r="X51" s="70"/>
    </row>
    <row r="52" spans="2:24" x14ac:dyDescent="0.2">
      <c r="B52" s="62"/>
      <c r="C52" s="91"/>
      <c r="D52" s="74"/>
      <c r="E52" s="69"/>
      <c r="F52" s="69"/>
      <c r="G52" s="69"/>
      <c r="H52" s="69"/>
      <c r="I52" s="69"/>
      <c r="J52" s="69"/>
      <c r="K52" s="69"/>
      <c r="L52" s="69"/>
      <c r="M52" s="69"/>
      <c r="N52" s="69"/>
      <c r="O52" s="69"/>
      <c r="P52" s="69"/>
      <c r="Q52" s="69"/>
      <c r="R52" s="69"/>
      <c r="S52" s="69"/>
      <c r="T52" s="69"/>
      <c r="U52" s="69"/>
      <c r="V52" s="69"/>
      <c r="W52" s="69"/>
      <c r="X52" s="70"/>
    </row>
    <row r="53" spans="2:24" ht="25.5" customHeight="1" x14ac:dyDescent="0.25">
      <c r="B53" s="92" t="s">
        <v>69</v>
      </c>
      <c r="C53" s="93">
        <f>SUM(C39:C51)</f>
        <v>-15000</v>
      </c>
      <c r="D53" s="93">
        <f t="shared" ref="D53:X53" si="0">SUM(D39:D51)</f>
        <v>0</v>
      </c>
      <c r="E53" s="93">
        <f t="shared" si="0"/>
        <v>0</v>
      </c>
      <c r="F53" s="93">
        <f t="shared" si="0"/>
        <v>0</v>
      </c>
      <c r="G53" s="93">
        <f t="shared" si="0"/>
        <v>0</v>
      </c>
      <c r="H53" s="93">
        <f t="shared" si="0"/>
        <v>-2000</v>
      </c>
      <c r="I53" s="93">
        <f t="shared" si="0"/>
        <v>0</v>
      </c>
      <c r="J53" s="93">
        <f t="shared" si="0"/>
        <v>0</v>
      </c>
      <c r="K53" s="93">
        <f t="shared" si="0"/>
        <v>0</v>
      </c>
      <c r="L53" s="93">
        <f t="shared" si="0"/>
        <v>0</v>
      </c>
      <c r="M53" s="93">
        <f t="shared" si="0"/>
        <v>-2500</v>
      </c>
      <c r="N53" s="93">
        <f t="shared" si="0"/>
        <v>0</v>
      </c>
      <c r="O53" s="93">
        <f t="shared" si="0"/>
        <v>0</v>
      </c>
      <c r="P53" s="93">
        <f t="shared" si="0"/>
        <v>0</v>
      </c>
      <c r="Q53" s="93">
        <f t="shared" si="0"/>
        <v>0</v>
      </c>
      <c r="R53" s="93">
        <f t="shared" si="0"/>
        <v>-3500</v>
      </c>
      <c r="S53" s="93">
        <f t="shared" si="0"/>
        <v>0</v>
      </c>
      <c r="T53" s="93">
        <f t="shared" si="0"/>
        <v>0</v>
      </c>
      <c r="U53" s="93">
        <f t="shared" si="0"/>
        <v>0</v>
      </c>
      <c r="V53" s="93">
        <f t="shared" si="0"/>
        <v>0</v>
      </c>
      <c r="W53" s="93">
        <f t="shared" si="0"/>
        <v>0</v>
      </c>
      <c r="X53" s="93">
        <f t="shared" si="0"/>
        <v>0</v>
      </c>
    </row>
    <row r="55" spans="2:24" ht="23.25" customHeight="1" x14ac:dyDescent="0.2">
      <c r="B55" s="94" t="s">
        <v>70</v>
      </c>
      <c r="C55" s="95"/>
    </row>
    <row r="56" spans="2:24" ht="23.25" customHeight="1" x14ac:dyDescent="0.2">
      <c r="B56" s="94" t="s">
        <v>71</v>
      </c>
      <c r="C56" s="95"/>
    </row>
  </sheetData>
  <mergeCells count="3">
    <mergeCell ref="C3:E3"/>
    <mergeCell ref="D16:I16"/>
    <mergeCell ref="C20:X20"/>
  </mergeCells>
  <pageMargins left="0.75" right="0.75" top="1" bottom="1" header="0.5" footer="0.5"/>
  <pageSetup orientation="portrait" horizontalDpi="4294967292" verticalDpi="1200" r:id="rId1"/>
  <headerFooter alignWithMargins="0">
    <oddHeader>&amp;A</oddHeader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24</vt:i4>
      </vt:variant>
    </vt:vector>
  </HeadingPairs>
  <TitlesOfParts>
    <vt:vector size="27" baseType="lpstr">
      <vt:lpstr>New Customer Risk Analysis</vt:lpstr>
      <vt:lpstr>New Customer Pricing</vt:lpstr>
      <vt:lpstr>Tank Cash Flows</vt:lpstr>
      <vt:lpstr>AT_MARR</vt:lpstr>
      <vt:lpstr>Average_Weekly_Demand</vt:lpstr>
      <vt:lpstr>Contract_Length</vt:lpstr>
      <vt:lpstr>Distance</vt:lpstr>
      <vt:lpstr>Factor_1_Column</vt:lpstr>
      <vt:lpstr>Factor_1_Mean</vt:lpstr>
      <vt:lpstr>Factor_1_Std_Dev</vt:lpstr>
      <vt:lpstr>Factor_2_Column</vt:lpstr>
      <vt:lpstr>Factor_2_Mean</vt:lpstr>
      <vt:lpstr>Factor_2_Std_Dev</vt:lpstr>
      <vt:lpstr>Growth_Rate</vt:lpstr>
      <vt:lpstr>LA_1_Loss_Prob</vt:lpstr>
      <vt:lpstr>LA_1_PPKG_for_Sim</vt:lpstr>
      <vt:lpstr>Marginal_Tax_Rate</vt:lpstr>
      <vt:lpstr>NPW</vt:lpstr>
      <vt:lpstr>NPW_Column</vt:lpstr>
      <vt:lpstr>Price_Per_KGallons</vt:lpstr>
      <vt:lpstr>Random_Factor_1</vt:lpstr>
      <vt:lpstr>Random_Factor_2</vt:lpstr>
      <vt:lpstr>Simulation_Output_Table</vt:lpstr>
      <vt:lpstr>Target_Loss_Prob</vt:lpstr>
      <vt:lpstr>Target_PPKG</vt:lpstr>
      <vt:lpstr>Tolerance</vt:lpstr>
      <vt:lpstr>Weeks_Per_Year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kec4</dc:creator>
  <cp:lastModifiedBy>kec4</cp:lastModifiedBy>
  <dcterms:created xsi:type="dcterms:W3CDTF">2010-04-06T18:54:54Z</dcterms:created>
  <dcterms:modified xsi:type="dcterms:W3CDTF">2013-04-02T22:18:54Z</dcterms:modified>
</cp:coreProperties>
</file>
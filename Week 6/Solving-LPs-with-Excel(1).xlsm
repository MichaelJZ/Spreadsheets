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/>
  <bookViews>
    <workbookView xWindow="120" yWindow="120" windowWidth="7950" windowHeight="4425"/>
  </bookViews>
  <sheets>
    <sheet name="Product Mix" sheetId="12" r:id="rId1"/>
    <sheet name="Product Mix - Graph" sheetId="13" r:id="rId2"/>
    <sheet name="Box Packing" sheetId="14" r:id="rId3"/>
    <sheet name="Shift Scheduling" sheetId="11" r:id="rId4"/>
  </sheets>
  <definedNames>
    <definedName name="A_Gross_Margin_per_Unit">'Product Mix'!$I$17</definedName>
    <definedName name="A_Max">'Product Mix'!$K$17</definedName>
    <definedName name="A_Min">'Product Mix'!$J$17</definedName>
    <definedName name="anscount" hidden="1">1</definedName>
    <definedName name="B_Gross_Margin_per_Unit">'Product Mix'!$I$18</definedName>
    <definedName name="B_Max">'Product Mix'!$K$18</definedName>
    <definedName name="B_Min">'Product Mix'!$J$18</definedName>
    <definedName name="Boxes" localSheetId="2">'Box Packing'!$E$8:$K$8</definedName>
    <definedName name="Boxes_Used" localSheetId="2">'Box Packing'!$E$29:$K$29</definedName>
    <definedName name="Hours_Available">'Product Mix'!$E$8:$G$8</definedName>
    <definedName name="Hours_Used">'Product Mix'!$E$9:$G$9</definedName>
    <definedName name="Items" localSheetId="2">'Box Packing'!$D$9:$D$28</definedName>
    <definedName name="Items_Packed" localSheetId="2">'Box Packing'!$L$9:$L$28</definedName>
    <definedName name="Max_Production_Quantities">'Product Mix'!$K$17:$K$18</definedName>
    <definedName name="Min_Production_Quantities">'Product Mix'!$J$17:$J$18</definedName>
    <definedName name="Packing_Matrix" localSheetId="2">'Box Packing'!$E$9:$K$28</definedName>
    <definedName name="Production_Quantities">'Product Mix'!$E$22:$E$23</definedName>
    <definedName name="Sector_1_Hours_Available">'Product Mix'!$E$8</definedName>
    <definedName name="Sector_1_Hours_Used">'Product Mix'!$E$9</definedName>
    <definedName name="Sector_2_Hours_Available">'Product Mix'!$F$8</definedName>
    <definedName name="Sector_2_Hours_Used">'Product Mix'!$F$9</definedName>
    <definedName name="Sector_3_Hours_Available">'Product Mix'!$G$8</definedName>
    <definedName name="Sector_3_Hours_Used">'Product Mix'!$G$9</definedName>
    <definedName name="sencount" hidden="1">1</definedName>
    <definedName name="solver_cvg" localSheetId="2" hidden="1">0.0001</definedName>
    <definedName name="solver_cvg" localSheetId="0" hidden="1">0.0001</definedName>
    <definedName name="solver_cvg" localSheetId="3" hidden="1">0.0001</definedName>
    <definedName name="solver_drv" localSheetId="2" hidden="1">2</definedName>
    <definedName name="solver_drv" localSheetId="0" hidden="1">1</definedName>
    <definedName name="solver_drv" localSheetId="3" hidden="1">1</definedName>
    <definedName name="solver_eng" localSheetId="2" hidden="1">2</definedName>
    <definedName name="solver_est" localSheetId="2" hidden="1">1</definedName>
    <definedName name="solver_est" localSheetId="0" hidden="1">1</definedName>
    <definedName name="solver_est" localSheetId="3" hidden="1">1</definedName>
    <definedName name="solver_itr" localSheetId="2" hidden="1">2147483647</definedName>
    <definedName name="solver_itr" localSheetId="0" hidden="1">10000</definedName>
    <definedName name="solver_itr" localSheetId="3" hidden="1">100</definedName>
    <definedName name="solver_lhs1" localSheetId="2" hidden="1">'Box Packing'!$L$9:$L$28</definedName>
    <definedName name="solver_lhs1" localSheetId="0" hidden="1">'Product Mix'!$E$22:$E$23</definedName>
    <definedName name="solver_lhs1" localSheetId="3" hidden="1">'Shift Scheduling'!$C$11:$C$24</definedName>
    <definedName name="solver_lhs2" localSheetId="2" hidden="1">'Box Packing'!$L$9:$L$28</definedName>
    <definedName name="solver_lhs2" localSheetId="0" hidden="1">'Product Mix'!$E$22:$E$23</definedName>
    <definedName name="solver_lhs2" localSheetId="3" hidden="1">'Shift Scheduling'!$C$11:$C$24</definedName>
    <definedName name="solver_lhs3" localSheetId="2" hidden="1">'Box Packing'!$L$9:$L$28</definedName>
    <definedName name="solver_lhs3" localSheetId="0" hidden="1">'Product Mix'!$E$22:$E$23</definedName>
    <definedName name="solver_lhs3" localSheetId="3" hidden="1">'Shift Scheduling'!$C$11:$C$24</definedName>
    <definedName name="solver_lhs4" localSheetId="2" hidden="1">'Box Packing'!$L$9:$L$28</definedName>
    <definedName name="solver_lhs4" localSheetId="0" hidden="1">'Product Mix'!$E$22:$E$23</definedName>
    <definedName name="solver_lhs5" localSheetId="2" hidden="1">'Box Packing'!$L$9:$L$28</definedName>
    <definedName name="solver_lhs6" localSheetId="2" hidden="1">'Box Packing'!$L$9:$L$28</definedName>
    <definedName name="solver_lin" localSheetId="0" hidden="1">1</definedName>
    <definedName name="solver_lin" localSheetId="3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eg" localSheetId="0" hidden="1">2</definedName>
    <definedName name="solver_neg" localSheetId="3" hidden="1">2</definedName>
    <definedName name="solver_nod" localSheetId="2" hidden="1">2147483647</definedName>
    <definedName name="solver_num" localSheetId="2" hidden="1">0</definedName>
    <definedName name="solver_num" localSheetId="0" hidden="1">0</definedName>
    <definedName name="solver_num" localSheetId="3" hidden="1">0</definedName>
    <definedName name="solver_nwt" localSheetId="2" hidden="1">1</definedName>
    <definedName name="solver_nwt" localSheetId="0" hidden="1">1</definedName>
    <definedName name="solver_nwt" localSheetId="3" hidden="1">1</definedName>
    <definedName name="solver_pre" localSheetId="2" hidden="1">0.000001</definedName>
    <definedName name="solver_pre" localSheetId="0" hidden="1">0.000001</definedName>
    <definedName name="solver_pre" localSheetId="3" hidden="1">0.000001</definedName>
    <definedName name="solver_rbv" localSheetId="2" hidden="1">2</definedName>
    <definedName name="solver_rel1" localSheetId="2" hidden="1">2</definedName>
    <definedName name="solver_rel1" localSheetId="0" hidden="1">3</definedName>
    <definedName name="solver_rel1" localSheetId="3" hidden="1">3</definedName>
    <definedName name="solver_rel2" localSheetId="2" hidden="1">2</definedName>
    <definedName name="solver_rel2" localSheetId="0" hidden="1">1</definedName>
    <definedName name="solver_rel2" localSheetId="3" hidden="1">4</definedName>
    <definedName name="solver_rel3" localSheetId="2" hidden="1">2</definedName>
    <definedName name="solver_rel3" localSheetId="0" hidden="1">3</definedName>
    <definedName name="solver_rel3" localSheetId="3" hidden="1">4</definedName>
    <definedName name="solver_rel4" localSheetId="2" hidden="1">2</definedName>
    <definedName name="solver_rel4" localSheetId="0" hidden="1">4</definedName>
    <definedName name="solver_rel5" localSheetId="2" hidden="1">2</definedName>
    <definedName name="solver_rel6" localSheetId="2" hidden="1">2</definedName>
    <definedName name="solver_rhs1" localSheetId="2" hidden="1">1</definedName>
    <definedName name="solver_rhs1" localSheetId="0" hidden="1">'Product Mix'!$J$17:$J$18</definedName>
    <definedName name="solver_rhs1" localSheetId="3" hidden="1">0</definedName>
    <definedName name="solver_rhs2" localSheetId="2" hidden="1">1</definedName>
    <definedName name="solver_rhs2" localSheetId="0" hidden="1">'Product Mix'!$K$17:$K$18</definedName>
    <definedName name="solver_rhs2" localSheetId="3" hidden="1">integer</definedName>
    <definedName name="solver_rhs3" localSheetId="2" hidden="1">1</definedName>
    <definedName name="solver_rhs3" localSheetId="0" hidden="1">'Product Mix'!$J$17:$J$18</definedName>
    <definedName name="solver_rhs3" localSheetId="3" hidden="1">integer</definedName>
    <definedName name="solver_rhs4" localSheetId="2" hidden="1">1</definedName>
    <definedName name="solver_rhs4" localSheetId="0" hidden="1">integer</definedName>
    <definedName name="solver_rhs5" localSheetId="2" hidden="1">1</definedName>
    <definedName name="solver_rhs6" localSheetId="2" hidden="1">1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cl" localSheetId="0" hidden="1">2</definedName>
    <definedName name="solver_scl" localSheetId="3" hidden="1">2</definedName>
    <definedName name="solver_sho" localSheetId="2" hidden="1">2</definedName>
    <definedName name="solver_sho" localSheetId="0" hidden="1">2</definedName>
    <definedName name="solver_sho" localSheetId="3" hidden="1">2</definedName>
    <definedName name="solver_ssz" localSheetId="2" hidden="1">100</definedName>
    <definedName name="solver_tim" localSheetId="2" hidden="1">2147483647</definedName>
    <definedName name="solver_tim" localSheetId="0" hidden="1">100</definedName>
    <definedName name="solver_tim" localSheetId="3" hidden="1">100</definedName>
    <definedName name="solver_tol" localSheetId="2" hidden="1">0.01</definedName>
    <definedName name="solver_tol" localSheetId="0" hidden="1">0.05</definedName>
    <definedName name="solver_tol" localSheetId="3" hidden="1">0.05</definedName>
    <definedName name="solver_typ" localSheetId="2" hidden="1">1</definedName>
    <definedName name="solver_typ" localSheetId="0" hidden="1">1</definedName>
    <definedName name="solver_typ" localSheetId="3" hidden="1">2</definedName>
    <definedName name="solver_val" localSheetId="2" hidden="1">0</definedName>
    <definedName name="solver_val" localSheetId="0" hidden="1">0</definedName>
    <definedName name="solver_val" localSheetId="3" hidden="1">0</definedName>
    <definedName name="solver_ver" localSheetId="2" hidden="1">3</definedName>
    <definedName name="Total_Boxes_Used" localSheetId="2">'Box Packing'!$E$2</definedName>
    <definedName name="Total_Gross_Margin">'Product Mix'!$E$25</definedName>
    <definedName name="Weights" localSheetId="2">'Box Packing'!$C$9:$C$28</definedName>
    <definedName name="x_A">'Product Mix'!$E$22</definedName>
    <definedName name="x_B">'Product Mix'!$E$23</definedName>
  </definedNames>
  <calcPr calcId="145621"/>
</workbook>
</file>

<file path=xl/calcChain.xml><?xml version="1.0" encoding="utf-8"?>
<calcChain xmlns="http://schemas.openxmlformats.org/spreadsheetml/2006/main">
  <c r="K30" i="14" l="1"/>
  <c r="J30" i="14"/>
  <c r="I30" i="14"/>
  <c r="H30" i="14"/>
  <c r="G30" i="14"/>
  <c r="F30" i="14"/>
  <c r="E30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E2" i="14"/>
  <c r="E9" i="12"/>
  <c r="F9" i="12"/>
  <c r="G9" i="12"/>
  <c r="H17" i="12"/>
  <c r="I17" i="12" s="1"/>
  <c r="H18" i="12"/>
  <c r="I18" i="12" s="1"/>
  <c r="I26" i="13" s="1"/>
  <c r="C5" i="13"/>
  <c r="D5" i="13"/>
  <c r="F5" i="13"/>
  <c r="C7" i="13"/>
  <c r="D7" i="13"/>
  <c r="F7" i="13"/>
  <c r="C9" i="13"/>
  <c r="D9" i="13"/>
  <c r="F9" i="13"/>
  <c r="F11" i="13"/>
  <c r="F13" i="13"/>
  <c r="F15" i="13"/>
  <c r="F17" i="13"/>
  <c r="C21" i="13"/>
  <c r="D21" i="13"/>
  <c r="D22" i="13"/>
  <c r="C22" i="13" s="1"/>
  <c r="C23" i="13"/>
  <c r="D23" i="13" s="1"/>
  <c r="C24" i="13"/>
  <c r="D24" i="13"/>
  <c r="C25" i="13"/>
  <c r="D25" i="13" s="1"/>
  <c r="D26" i="13"/>
  <c r="C26" i="13" s="1"/>
  <c r="L26" i="13"/>
  <c r="M26" i="13"/>
  <c r="C27" i="13"/>
  <c r="D27" i="13"/>
  <c r="D28" i="13"/>
  <c r="C28" i="13" s="1"/>
  <c r="C29" i="13"/>
  <c r="D29" i="13"/>
  <c r="D30" i="13"/>
  <c r="C30" i="13" s="1"/>
  <c r="C31" i="13"/>
  <c r="D31" i="13" s="1"/>
  <c r="C32" i="13"/>
  <c r="D32" i="13"/>
  <c r="C33" i="13"/>
  <c r="D33" i="13"/>
  <c r="C34" i="13"/>
  <c r="D34" i="13"/>
  <c r="C25" i="11"/>
  <c r="E25" i="12" l="1"/>
  <c r="G29" i="13" s="1"/>
  <c r="I29" i="13" s="1"/>
  <c r="H26" i="13"/>
  <c r="G27" i="13"/>
  <c r="H29" i="13"/>
  <c r="I30" i="13"/>
  <c r="H30" i="13" s="1"/>
  <c r="G31" i="13"/>
  <c r="H31" i="13" l="1"/>
  <c r="I32" i="13"/>
  <c r="I31" i="13"/>
  <c r="H32" i="13"/>
  <c r="H27" i="13"/>
  <c r="I27" i="13" s="1"/>
  <c r="I28" i="13"/>
  <c r="H28" i="13" s="1"/>
</calcChain>
</file>

<file path=xl/sharedStrings.xml><?xml version="1.0" encoding="utf-8"?>
<sst xmlns="http://schemas.openxmlformats.org/spreadsheetml/2006/main" count="139" uniqueCount="90">
  <si>
    <t>A</t>
  </si>
  <si>
    <t>B</t>
  </si>
  <si>
    <t>&lt;=</t>
  </si>
  <si>
    <t>Selling</t>
  </si>
  <si>
    <t>Labor</t>
  </si>
  <si>
    <t>Price</t>
  </si>
  <si>
    <t>Min</t>
  </si>
  <si>
    <t>Max</t>
  </si>
  <si>
    <t>Product</t>
  </si>
  <si>
    <t>RM</t>
  </si>
  <si>
    <t>Cost</t>
  </si>
  <si>
    <t>Unit</t>
  </si>
  <si>
    <t>Hourly Labor Cost:</t>
  </si>
  <si>
    <t>Sector 1</t>
  </si>
  <si>
    <t>Sector 2</t>
  </si>
  <si>
    <t>Sector 3</t>
  </si>
  <si>
    <t>Labor Hours Required</t>
  </si>
  <si>
    <t>Labor Hours Available:</t>
  </si>
  <si>
    <t>Product Information</t>
  </si>
  <si>
    <t>Resource Information</t>
  </si>
  <si>
    <t>Decision Area</t>
  </si>
  <si>
    <t>Gross</t>
  </si>
  <si>
    <t>Margin</t>
  </si>
  <si>
    <t>Total Gross Margin:</t>
  </si>
  <si>
    <t xml:space="preserve">A: </t>
  </si>
  <si>
    <t xml:space="preserve">B: </t>
  </si>
  <si>
    <t>Marketing Forecast</t>
  </si>
  <si>
    <t>Sector 1 Capacity</t>
  </si>
  <si>
    <t>Sector 2 Capacity</t>
  </si>
  <si>
    <t>Sector 3 Capacity</t>
  </si>
  <si>
    <t>Max A</t>
  </si>
  <si>
    <t>Min A</t>
  </si>
  <si>
    <t>Max B</t>
  </si>
  <si>
    <t>Min B</t>
  </si>
  <si>
    <t>&gt;=</t>
  </si>
  <si>
    <t>Axis Scale:</t>
  </si>
  <si>
    <t>Objective Function</t>
  </si>
  <si>
    <t xml:space="preserve">Obj Fcn Value = </t>
  </si>
  <si>
    <t>Coefficients:</t>
  </si>
  <si>
    <t>Current Decision</t>
  </si>
  <si>
    <t>)</t>
  </si>
  <si>
    <t>Current Decision =(</t>
  </si>
  <si>
    <t xml:space="preserve">Step Size = </t>
  </si>
  <si>
    <t>Labor Hours Used in Production Decision:</t>
  </si>
  <si>
    <t>Morning M-F</t>
  </si>
  <si>
    <t>Morning T-S</t>
  </si>
  <si>
    <t>Morning W-N</t>
  </si>
  <si>
    <t>Morning R-M</t>
  </si>
  <si>
    <t>Morning F-T</t>
  </si>
  <si>
    <t>Morning S-W</t>
  </si>
  <si>
    <t>Morning N-R</t>
  </si>
  <si>
    <t>Evening M-F</t>
  </si>
  <si>
    <t>Evening T-S</t>
  </si>
  <si>
    <t>Evening W-N</t>
  </si>
  <si>
    <t>Evening R-M</t>
  </si>
  <si>
    <t>Evening F-T</t>
  </si>
  <si>
    <t>Evening S-W</t>
  </si>
  <si>
    <t>Evening N-R</t>
  </si>
  <si>
    <t>Total:</t>
  </si>
  <si>
    <t>Shift Coverage</t>
  </si>
  <si>
    <t>9am-1pm</t>
  </si>
  <si>
    <t>1pm-5pm</t>
  </si>
  <si>
    <t>5pm-9pm</t>
  </si>
  <si>
    <t>Shift Scheduling Problem</t>
  </si>
  <si>
    <t>Monday (M)</t>
  </si>
  <si>
    <t>Tuesday (T)</t>
  </si>
  <si>
    <t>Wednesday (W)</t>
  </si>
  <si>
    <t>Thursday (R)</t>
  </si>
  <si>
    <t>Friday (F)</t>
  </si>
  <si>
    <t>Saturday (S)</t>
  </si>
  <si>
    <t>Sunday (N)</t>
  </si>
  <si>
    <t>Number of Cashiers for each Shift Schedule</t>
  </si>
  <si>
    <t>Total Cashiers Needed:</t>
  </si>
  <si>
    <t>Product Mix Model</t>
  </si>
  <si>
    <t>Constraints</t>
  </si>
  <si>
    <t>Total Boxes Used:</t>
  </si>
  <si>
    <t>Packing Assignment Matrix</t>
  </si>
  <si>
    <t>Boxes</t>
  </si>
  <si>
    <t>Weight (lbs)</t>
  </si>
  <si>
    <t>Item</t>
  </si>
  <si>
    <t>C</t>
  </si>
  <si>
    <t>D</t>
  </si>
  <si>
    <t>E</t>
  </si>
  <si>
    <t>F</t>
  </si>
  <si>
    <t>G</t>
  </si>
  <si>
    <t>Item Packed</t>
  </si>
  <si>
    <t>Items to be Packed</t>
  </si>
  <si>
    <t>Box Used</t>
  </si>
  <si>
    <t>Current Weight of Box</t>
  </si>
  <si>
    <t>Maximum Weight for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</si>
</sst>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"/>
  </numFmts>
  <fonts count="1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6"/>
      <name val="Arial"/>
      <family val="2"/>
    </font>
    <font>
      <b/>
      <u/>
      <sz val="14"/>
      <name val="Arial"/>
      <family val="2"/>
    </font>
    <font>
      <b/>
      <u/>
      <sz val="1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Fill="1" applyBorder="1"/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38" fontId="0" fillId="3" borderId="5" xfId="0" applyNumberForma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38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5" fontId="0" fillId="3" borderId="2" xfId="0" applyNumberFormat="1" applyFill="1" applyBorder="1"/>
    <xf numFmtId="6" fontId="0" fillId="2" borderId="2" xfId="0" applyNumberFormat="1" applyFill="1" applyBorder="1"/>
    <xf numFmtId="0" fontId="1" fillId="2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165" fontId="3" fillId="3" borderId="2" xfId="0" applyNumberFormat="1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6" fontId="1" fillId="2" borderId="10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3" borderId="10" xfId="0" applyNumberFormat="1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6" fontId="1" fillId="2" borderId="9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6" fontId="1" fillId="2" borderId="2" xfId="0" applyNumberFormat="1" applyFont="1" applyFill="1" applyBorder="1" applyAlignment="1">
      <alignment horizontal="center" vertical="center"/>
    </xf>
    <xf numFmtId="40" fontId="1" fillId="3" borderId="2" xfId="0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1" fillId="0" borderId="0" xfId="0" applyFont="1" applyAlignment="1">
      <alignment horizontal="right" vertical="center" wrapText="1"/>
    </xf>
    <xf numFmtId="38" fontId="9" fillId="0" borderId="0" xfId="0" applyNumberFormat="1" applyFont="1" applyFill="1" applyBorder="1" applyAlignment="1">
      <alignment horizontal="left"/>
    </xf>
    <xf numFmtId="38" fontId="9" fillId="0" borderId="0" xfId="0" applyNumberFormat="1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38" fontId="8" fillId="0" borderId="0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38" fontId="1" fillId="2" borderId="13" xfId="0" applyNumberFormat="1" applyFont="1" applyFill="1" applyBorder="1" applyAlignment="1">
      <alignment horizontal="center" vertical="center"/>
    </xf>
    <xf numFmtId="38" fontId="0" fillId="0" borderId="0" xfId="0" applyNumberFormat="1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38" fontId="1" fillId="0" borderId="0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3" fillId="2" borderId="2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>
      <alignment vertical="center"/>
    </xf>
    <xf numFmtId="0" fontId="6" fillId="0" borderId="0" xfId="1"/>
    <xf numFmtId="0" fontId="3" fillId="0" borderId="0" xfId="1" applyFont="1" applyAlignment="1">
      <alignment horizontal="right" vertical="center"/>
    </xf>
    <xf numFmtId="0" fontId="3" fillId="0" borderId="0" xfId="1" applyFont="1" applyFill="1" applyBorder="1" applyAlignment="1">
      <alignment horizontal="center" vertical="center"/>
    </xf>
    <xf numFmtId="0" fontId="2" fillId="0" borderId="0" xfId="1" applyFont="1" applyAlignment="1">
      <alignment horizontal="right" vertical="center"/>
    </xf>
    <xf numFmtId="0" fontId="2" fillId="4" borderId="2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right" vertical="center"/>
    </xf>
    <xf numFmtId="0" fontId="6" fillId="0" borderId="0" xfId="1" applyFill="1" applyBorder="1"/>
    <xf numFmtId="1" fontId="1" fillId="0" borderId="0" xfId="1" applyNumberFormat="1" applyFont="1" applyFill="1" applyBorder="1" applyAlignment="1">
      <alignment horizontal="center" vertical="center"/>
    </xf>
    <xf numFmtId="0" fontId="3" fillId="0" borderId="0" xfId="1" applyFont="1" applyBorder="1" applyAlignment="1"/>
    <xf numFmtId="0" fontId="6" fillId="7" borderId="0" xfId="1" applyFill="1"/>
    <xf numFmtId="0" fontId="1" fillId="6" borderId="14" xfId="1" applyFont="1" applyFill="1" applyBorder="1" applyAlignment="1">
      <alignment horizontal="center" wrapText="1"/>
    </xf>
    <xf numFmtId="0" fontId="1" fillId="6" borderId="12" xfId="1" applyFont="1" applyFill="1" applyBorder="1" applyAlignment="1">
      <alignment horizontal="center" wrapText="1"/>
    </xf>
    <xf numFmtId="0" fontId="1" fillId="0" borderId="2" xfId="1" applyFont="1" applyBorder="1" applyAlignment="1">
      <alignment horizontal="center" vertical="center"/>
    </xf>
    <xf numFmtId="0" fontId="1" fillId="0" borderId="2" xfId="1" applyFont="1" applyFill="1" applyBorder="1" applyAlignment="1">
      <alignment horizontal="center" vertical="center" wrapText="1"/>
    </xf>
    <xf numFmtId="0" fontId="1" fillId="0" borderId="13" xfId="1" applyFont="1" applyBorder="1" applyAlignment="1">
      <alignment horizontal="center" vertical="center"/>
    </xf>
    <xf numFmtId="0" fontId="6" fillId="9" borderId="11" xfId="1" applyFont="1" applyFill="1" applyBorder="1" applyAlignment="1">
      <alignment horizontal="center"/>
    </xf>
    <xf numFmtId="0" fontId="1" fillId="5" borderId="2" xfId="1" applyFont="1" applyFill="1" applyBorder="1" applyAlignment="1">
      <alignment horizontal="center"/>
    </xf>
    <xf numFmtId="0" fontId="1" fillId="0" borderId="12" xfId="1" applyFont="1" applyBorder="1" applyAlignment="1">
      <alignment horizontal="center" vertical="center"/>
    </xf>
    <xf numFmtId="0" fontId="1" fillId="0" borderId="14" xfId="1" applyFont="1" applyBorder="1" applyAlignment="1">
      <alignment horizontal="center" vertical="center"/>
    </xf>
    <xf numFmtId="0" fontId="6" fillId="10" borderId="2" xfId="1" applyFont="1" applyFill="1" applyBorder="1" applyAlignment="1">
      <alignment horizontal="center" vertical="center"/>
    </xf>
    <xf numFmtId="166" fontId="1" fillId="5" borderId="2" xfId="1" applyNumberFormat="1" applyFont="1" applyFill="1" applyBorder="1" applyAlignment="1">
      <alignment horizontal="center" vertical="center"/>
    </xf>
    <xf numFmtId="166" fontId="1" fillId="9" borderId="2" xfId="1" applyNumberFormat="1" applyFont="1" applyFill="1" applyBorder="1" applyAlignment="1">
      <alignment horizontal="center" vertical="center"/>
    </xf>
    <xf numFmtId="166" fontId="6" fillId="8" borderId="3" xfId="0" applyNumberFormat="1" applyFont="1" applyFill="1" applyBorder="1" applyAlignment="1">
      <alignment horizontal="center" vertical="center"/>
    </xf>
    <xf numFmtId="166" fontId="6" fillId="8" borderId="6" xfId="0" applyNumberFormat="1" applyFont="1" applyFill="1" applyBorder="1" applyAlignment="1">
      <alignment horizontal="center" vertical="center"/>
    </xf>
    <xf numFmtId="166" fontId="6" fillId="8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 wrapText="1"/>
    </xf>
    <xf numFmtId="0" fontId="1" fillId="0" borderId="7" xfId="0" applyFont="1" applyBorder="1" applyAlignment="1">
      <alignment horizontal="right" vertical="center" wrapText="1"/>
    </xf>
    <xf numFmtId="0" fontId="4" fillId="0" borderId="10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3" fillId="6" borderId="11" xfId="1" applyFont="1" applyFill="1" applyBorder="1" applyAlignment="1">
      <alignment horizontal="center"/>
    </xf>
    <xf numFmtId="0" fontId="3" fillId="6" borderId="2" xfId="1" applyFont="1" applyFill="1" applyBorder="1" applyAlignment="1">
      <alignment horizontal="center"/>
    </xf>
    <xf numFmtId="0" fontId="3" fillId="6" borderId="13" xfId="1" applyFont="1" applyFill="1" applyBorder="1" applyAlignment="1">
      <alignment horizontal="center" vertical="center" wrapText="1"/>
    </xf>
    <xf numFmtId="0" fontId="3" fillId="6" borderId="12" xfId="1" applyFont="1" applyFill="1" applyBorder="1" applyAlignment="1">
      <alignment horizontal="center" vertical="center" wrapText="1"/>
    </xf>
    <xf numFmtId="0" fontId="3" fillId="6" borderId="14" xfId="1" applyFont="1" applyFill="1" applyBorder="1" applyAlignment="1">
      <alignment horizontal="center" vertical="center" wrapText="1"/>
    </xf>
    <xf numFmtId="0" fontId="1" fillId="0" borderId="10" xfId="1" applyFont="1" applyFill="1" applyBorder="1" applyAlignment="1">
      <alignment horizontal="center" vertical="center" wrapText="1"/>
    </xf>
    <xf numFmtId="0" fontId="1" fillId="0" borderId="8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4">
    <cellStyle name="Currency 2" xfId="3"/>
    <cellStyle name="Normal" xfId="0" builtinId="0"/>
    <cellStyle name="Normal 2" xfId="1"/>
    <cellStyle name="Percent 2" xfId="2"/>
  </cellStyles>
  <dxfs count="10">
    <dxf>
      <font>
        <b/>
        <i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56"/>
      </font>
    </dxf>
    <dxf>
      <font>
        <b/>
        <i val="0"/>
        <condense val="0"/>
        <extend val="0"/>
        <u val="none"/>
        <color indexed="10"/>
      </font>
    </dxf>
    <dxf>
      <font>
        <condense val="0"/>
        <extend val="0"/>
        <color indexed="56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Graphical Representation</a:t>
            </a:r>
          </a:p>
        </c:rich>
      </c:tx>
      <c:layout>
        <c:manualLayout>
          <c:xMode val="edge"/>
          <c:yMode val="edge"/>
          <c:x val="0.32263870780189535"/>
          <c:y val="3.25204112688729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6781237433921"/>
          <c:y val="0.18970239906842601"/>
          <c:w val="0.46167638298724262"/>
          <c:h val="0.5989175742017433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'Product Mix - Graph'!$B$21</c:f>
              <c:strCache>
                <c:ptCount val="1"/>
                <c:pt idx="0">
                  <c:v>Sector 1 Capacity</c:v>
                </c:pt>
              </c:strCache>
            </c:strRef>
          </c:tx>
          <c:spPr>
            <a:ln w="25400">
              <a:solidFill>
                <a:srgbClr val="339933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xVal>
            <c:numRef>
              <c:f>'Product Mix - Graph'!$C$21:$C$22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xVal>
          <c:yVal>
            <c:numRef>
              <c:f>'Product Mix - Graph'!$D$21:$D$22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'Product Mix - Graph'!$B$23</c:f>
              <c:strCache>
                <c:ptCount val="1"/>
                <c:pt idx="0">
                  <c:v>Sector 2 Capacity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'Product Mix - Graph'!$C$23:$C$24</c:f>
              <c:numCache>
                <c:formatCode>General</c:formatCode>
                <c:ptCount val="2"/>
                <c:pt idx="0">
                  <c:v>300</c:v>
                </c:pt>
                <c:pt idx="1">
                  <c:v>0</c:v>
                </c:pt>
              </c:numCache>
            </c:numRef>
          </c:xVal>
          <c:yVal>
            <c:numRef>
              <c:f>'Product Mix - Graph'!$D$23:$D$24</c:f>
              <c:numCache>
                <c:formatCode>General</c:formatCode>
                <c:ptCount val="2"/>
                <c:pt idx="0">
                  <c:v>134.4</c:v>
                </c:pt>
                <c:pt idx="1">
                  <c:v>134.4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'Product Mix - Graph'!$B$25</c:f>
              <c:strCache>
                <c:ptCount val="1"/>
                <c:pt idx="0">
                  <c:v>Sector 3 Capacity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'Product Mix - Graph'!$C$25:$C$26</c:f>
              <c:numCache>
                <c:formatCode>General</c:formatCode>
                <c:ptCount val="2"/>
                <c:pt idx="0">
                  <c:v>168</c:v>
                </c:pt>
                <c:pt idx="1">
                  <c:v>0</c:v>
                </c:pt>
              </c:numCache>
            </c:numRef>
          </c:xVal>
          <c:yVal>
            <c:numRef>
              <c:f>'Product Mix - Graph'!$D$25:$D$26</c:f>
              <c:numCache>
                <c:formatCode>General</c:formatCode>
                <c:ptCount val="2"/>
                <c:pt idx="0">
                  <c:v>0</c:v>
                </c:pt>
                <c:pt idx="1">
                  <c:v>224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'Product Mix - Graph'!$B$27</c:f>
              <c:strCache>
                <c:ptCount val="1"/>
                <c:pt idx="0">
                  <c:v>Min A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'Product Mix - Graph'!$C$27:$C$28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'Product Mix - Graph'!$D$27:$D$28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'Product Mix - Graph'!$B$29</c:f>
              <c:strCache>
                <c:ptCount val="1"/>
                <c:pt idx="0">
                  <c:v>Max A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'Product Mix - Graph'!$C$29:$C$30</c:f>
              <c:numCache>
                <c:formatCode>General</c:formatCode>
                <c:ptCount val="2"/>
                <c:pt idx="0">
                  <c:v>140</c:v>
                </c:pt>
                <c:pt idx="1">
                  <c:v>140</c:v>
                </c:pt>
              </c:numCache>
            </c:numRef>
          </c:xVal>
          <c:yVal>
            <c:numRef>
              <c:f>'Product Mix - Graph'!$D$29:$D$30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'Product Mix - Graph'!$B$31</c:f>
              <c:strCache>
                <c:ptCount val="1"/>
                <c:pt idx="0">
                  <c:v>Min B</c:v>
                </c:pt>
              </c:strCache>
            </c:strRef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'Product Mix - Graph'!$C$31:$C$32</c:f>
              <c:numCache>
                <c:formatCode>General</c:formatCode>
                <c:ptCount val="2"/>
                <c:pt idx="0">
                  <c:v>300</c:v>
                </c:pt>
                <c:pt idx="1">
                  <c:v>0</c:v>
                </c:pt>
              </c:numCache>
            </c:numRef>
          </c:xVal>
          <c:yVal>
            <c:numRef>
              <c:f>'Product Mix - Graph'!$D$31:$D$32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'Product Mix - Graph'!$B$33</c:f>
              <c:strCache>
                <c:ptCount val="1"/>
                <c:pt idx="0">
                  <c:v>Max B</c:v>
                </c:pt>
              </c:strCache>
            </c:strRef>
          </c:tx>
          <c:spPr>
            <a:ln w="25400">
              <a:solidFill>
                <a:srgbClr val="FF8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8080"/>
              </a:solidFill>
              <a:ln>
                <a:solidFill>
                  <a:srgbClr val="FF8080"/>
                </a:solidFill>
                <a:prstDash val="solid"/>
              </a:ln>
            </c:spPr>
          </c:marker>
          <c:xVal>
            <c:numRef>
              <c:f>'Product Mix - Graph'!$C$33:$C$34</c:f>
              <c:numCache>
                <c:formatCode>General</c:formatCode>
                <c:ptCount val="2"/>
                <c:pt idx="0">
                  <c:v>300</c:v>
                </c:pt>
                <c:pt idx="1">
                  <c:v>0</c:v>
                </c:pt>
              </c:numCache>
            </c:numRef>
          </c:xVal>
          <c:yVal>
            <c:numRef>
              <c:f>'Product Mix - Graph'!$D$33:$D$34</c:f>
              <c:numCache>
                <c:formatCode>General</c:formatCode>
                <c:ptCount val="2"/>
                <c:pt idx="0">
                  <c:v>140</c:v>
                </c:pt>
                <c:pt idx="1">
                  <c:v>140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'Product Mix - Graph'!$K$26:$N$26</c:f>
              <c:strCache>
                <c:ptCount val="1"/>
                <c:pt idx="0">
                  <c:v>Current Decision =( 100 50 )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'Product Mix - Graph'!$L$26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'Product Mix - Graph'!$M$26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'Product Mix - Graph'!$F$29:$G$29</c:f>
              <c:strCache>
                <c:ptCount val="1"/>
                <c:pt idx="0">
                  <c:v>Obj Fcn Value =  $66,000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'Product Mix - Graph'!$H$29:$H$30</c:f>
              <c:numCache>
                <c:formatCode>General</c:formatCode>
                <c:ptCount val="2"/>
                <c:pt idx="0">
                  <c:v>146.66666666666666</c:v>
                </c:pt>
                <c:pt idx="1">
                  <c:v>0</c:v>
                </c:pt>
              </c:numCache>
            </c:numRef>
          </c:xVal>
          <c:yVal>
            <c:numRef>
              <c:f>'Product Mix - Graph'!$I$29:$I$30</c:f>
              <c:numCache>
                <c:formatCode>General</c:formatCode>
                <c:ptCount val="2"/>
                <c:pt idx="0">
                  <c:v>0</c:v>
                </c:pt>
                <c:pt idx="1">
                  <c:v>157.14285714285714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11936"/>
        <c:axId val="152937984"/>
      </c:scatterChart>
      <c:valAx>
        <c:axId val="140311936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of A</a:t>
                </a:r>
              </a:p>
            </c:rich>
          </c:tx>
          <c:layout>
            <c:manualLayout>
              <c:xMode val="edge"/>
              <c:yMode val="edge"/>
              <c:x val="0.31194350201840682"/>
              <c:y val="0.88347117280438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937984"/>
        <c:crosses val="autoZero"/>
        <c:crossBetween val="midCat"/>
      </c:valAx>
      <c:valAx>
        <c:axId val="152937984"/>
        <c:scaling>
          <c:orientation val="minMax"/>
          <c:max val="2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of B</a:t>
                </a:r>
              </a:p>
            </c:rich>
          </c:tx>
          <c:layout>
            <c:manualLayout>
              <c:xMode val="edge"/>
              <c:yMode val="edge"/>
              <c:x val="2.8520548755968607E-2"/>
              <c:y val="0.387534900954070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31193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240755279278262"/>
          <c:y val="0.20596260470286237"/>
          <c:w val="0.3333339135853835"/>
          <c:h val="0.569107197205277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Graphical Representation</a:t>
            </a:r>
          </a:p>
        </c:rich>
      </c:tx>
      <c:layout>
        <c:manualLayout>
          <c:xMode val="edge"/>
          <c:yMode val="edge"/>
          <c:x val="0.32263870780189513"/>
          <c:y val="3.25204112688729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6781237433921"/>
          <c:y val="0.1897023990684259"/>
          <c:w val="0.4616763829872424"/>
          <c:h val="0.59891757420174363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'Product Mix - Graph'!$B$21</c:f>
              <c:strCache>
                <c:ptCount val="1"/>
                <c:pt idx="0">
                  <c:v>Sector 1 Capacity</c:v>
                </c:pt>
              </c:strCache>
            </c:strRef>
          </c:tx>
          <c:spPr>
            <a:ln w="25400">
              <a:solidFill>
                <a:srgbClr val="339933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xVal>
            <c:numRef>
              <c:f>'Product Mix - Graph'!$C$21:$C$22</c:f>
              <c:numCache>
                <c:formatCode>General</c:formatCode>
                <c:ptCount val="2"/>
                <c:pt idx="0">
                  <c:v>168</c:v>
                </c:pt>
                <c:pt idx="1">
                  <c:v>168</c:v>
                </c:pt>
              </c:numCache>
            </c:numRef>
          </c:xVal>
          <c:yVal>
            <c:numRef>
              <c:f>'Product Mix - Graph'!$D$21:$D$22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'Product Mix - Graph'!$B$23</c:f>
              <c:strCache>
                <c:ptCount val="1"/>
                <c:pt idx="0">
                  <c:v>Sector 2 Capacity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'Product Mix - Graph'!$C$23:$C$24</c:f>
              <c:numCache>
                <c:formatCode>General</c:formatCode>
                <c:ptCount val="2"/>
                <c:pt idx="0">
                  <c:v>300</c:v>
                </c:pt>
                <c:pt idx="1">
                  <c:v>0</c:v>
                </c:pt>
              </c:numCache>
            </c:numRef>
          </c:xVal>
          <c:yVal>
            <c:numRef>
              <c:f>'Product Mix - Graph'!$D$23:$D$24</c:f>
              <c:numCache>
                <c:formatCode>General</c:formatCode>
                <c:ptCount val="2"/>
                <c:pt idx="0">
                  <c:v>134.4</c:v>
                </c:pt>
                <c:pt idx="1">
                  <c:v>134.4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'Product Mix - Graph'!$B$25</c:f>
              <c:strCache>
                <c:ptCount val="1"/>
                <c:pt idx="0">
                  <c:v>Sector 3 Capacity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'Product Mix - Graph'!$C$25:$C$26</c:f>
              <c:numCache>
                <c:formatCode>General</c:formatCode>
                <c:ptCount val="2"/>
                <c:pt idx="0">
                  <c:v>168</c:v>
                </c:pt>
                <c:pt idx="1">
                  <c:v>0</c:v>
                </c:pt>
              </c:numCache>
            </c:numRef>
          </c:xVal>
          <c:yVal>
            <c:numRef>
              <c:f>'Product Mix - Graph'!$D$25:$D$26</c:f>
              <c:numCache>
                <c:formatCode>General</c:formatCode>
                <c:ptCount val="2"/>
                <c:pt idx="0">
                  <c:v>0</c:v>
                </c:pt>
                <c:pt idx="1">
                  <c:v>224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'Product Mix - Graph'!$B$27</c:f>
              <c:strCache>
                <c:ptCount val="1"/>
                <c:pt idx="0">
                  <c:v>Min A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'Product Mix - Graph'!$C$27:$C$28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'Product Mix - Graph'!$D$27:$D$28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'Product Mix - Graph'!$B$29</c:f>
              <c:strCache>
                <c:ptCount val="1"/>
                <c:pt idx="0">
                  <c:v>Max A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'Product Mix - Graph'!$C$29:$C$30</c:f>
              <c:numCache>
                <c:formatCode>General</c:formatCode>
                <c:ptCount val="2"/>
                <c:pt idx="0">
                  <c:v>140</c:v>
                </c:pt>
                <c:pt idx="1">
                  <c:v>140</c:v>
                </c:pt>
              </c:numCache>
            </c:numRef>
          </c:xVal>
          <c:yVal>
            <c:numRef>
              <c:f>'Product Mix - Graph'!$D$29:$D$30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'Product Mix - Graph'!$B$31</c:f>
              <c:strCache>
                <c:ptCount val="1"/>
                <c:pt idx="0">
                  <c:v>Min B</c:v>
                </c:pt>
              </c:strCache>
            </c:strRef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'Product Mix - Graph'!$C$31:$C$32</c:f>
              <c:numCache>
                <c:formatCode>General</c:formatCode>
                <c:ptCount val="2"/>
                <c:pt idx="0">
                  <c:v>300</c:v>
                </c:pt>
                <c:pt idx="1">
                  <c:v>0</c:v>
                </c:pt>
              </c:numCache>
            </c:numRef>
          </c:xVal>
          <c:yVal>
            <c:numRef>
              <c:f>'Product Mix - Graph'!$D$31:$D$32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'Product Mix - Graph'!$B$33</c:f>
              <c:strCache>
                <c:ptCount val="1"/>
                <c:pt idx="0">
                  <c:v>Max B</c:v>
                </c:pt>
              </c:strCache>
            </c:strRef>
          </c:tx>
          <c:spPr>
            <a:ln w="25400">
              <a:solidFill>
                <a:srgbClr val="FF8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8080"/>
              </a:solidFill>
              <a:ln>
                <a:solidFill>
                  <a:srgbClr val="FF8080"/>
                </a:solidFill>
                <a:prstDash val="solid"/>
              </a:ln>
            </c:spPr>
          </c:marker>
          <c:xVal>
            <c:numRef>
              <c:f>'Product Mix - Graph'!$C$33:$C$34</c:f>
              <c:numCache>
                <c:formatCode>General</c:formatCode>
                <c:ptCount val="2"/>
                <c:pt idx="0">
                  <c:v>300</c:v>
                </c:pt>
                <c:pt idx="1">
                  <c:v>0</c:v>
                </c:pt>
              </c:numCache>
            </c:numRef>
          </c:xVal>
          <c:yVal>
            <c:numRef>
              <c:f>'Product Mix - Graph'!$D$33:$D$34</c:f>
              <c:numCache>
                <c:formatCode>General</c:formatCode>
                <c:ptCount val="2"/>
                <c:pt idx="0">
                  <c:v>140</c:v>
                </c:pt>
                <c:pt idx="1">
                  <c:v>140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'Product Mix - Graph'!$K$26:$N$26</c:f>
              <c:strCache>
                <c:ptCount val="1"/>
                <c:pt idx="0">
                  <c:v>Current Decision =( 100 50 )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'Product Mix - Graph'!$L$26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'Product Mix - Graph'!$M$26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'Product Mix - Graph'!$F$29:$G$29</c:f>
              <c:strCache>
                <c:ptCount val="1"/>
                <c:pt idx="0">
                  <c:v>Obj Fcn Value =  $66,000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'Product Mix - Graph'!$H$29:$H$30</c:f>
              <c:numCache>
                <c:formatCode>General</c:formatCode>
                <c:ptCount val="2"/>
                <c:pt idx="0">
                  <c:v>146.66666666666666</c:v>
                </c:pt>
                <c:pt idx="1">
                  <c:v>0</c:v>
                </c:pt>
              </c:numCache>
            </c:numRef>
          </c:xVal>
          <c:yVal>
            <c:numRef>
              <c:f>'Product Mix - Graph'!$I$29:$I$30</c:f>
              <c:numCache>
                <c:formatCode>General</c:formatCode>
                <c:ptCount val="2"/>
                <c:pt idx="0">
                  <c:v>0</c:v>
                </c:pt>
                <c:pt idx="1">
                  <c:v>157.14285714285714</c:v>
                </c:pt>
              </c:numCache>
            </c:numRef>
          </c:yVal>
          <c:smooth val="0"/>
        </c:ser>
        <c:ser>
          <c:idx val="7"/>
          <c:order val="9"/>
          <c:tx>
            <c:strRef>
              <c:f>'Product Mix - Graph'!$F$27:$G$27</c:f>
              <c:strCache>
                <c:ptCount val="1"/>
                <c:pt idx="0">
                  <c:v>Obj Fcn Value =  $56,000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'Product Mix - Graph'!$H$27:$H$28</c:f>
              <c:numCache>
                <c:formatCode>General</c:formatCode>
                <c:ptCount val="2"/>
                <c:pt idx="0">
                  <c:v>124.44444444444444</c:v>
                </c:pt>
                <c:pt idx="1">
                  <c:v>-1.6168794698185391E-14</c:v>
                </c:pt>
              </c:numCache>
            </c:numRef>
          </c:xVal>
          <c:yVal>
            <c:numRef>
              <c:f>'Product Mix - Graph'!$I$27:$I$28</c:f>
              <c:numCache>
                <c:formatCode>General</c:formatCode>
                <c:ptCount val="2"/>
                <c:pt idx="0">
                  <c:v>0</c:v>
                </c:pt>
                <c:pt idx="1">
                  <c:v>133.33333333333334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'Product Mix - Graph'!$F$31:$G$31</c:f>
              <c:strCache>
                <c:ptCount val="1"/>
                <c:pt idx="0">
                  <c:v>Obj Fcn Value =  $76,000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DotDot"/>
            </a:ln>
          </c:spPr>
          <c:marker>
            <c:symbol val="none"/>
          </c:marker>
          <c:xVal>
            <c:numRef>
              <c:f>'Product Mix - Graph'!$H$31:$H$32</c:f>
              <c:numCache>
                <c:formatCode>General</c:formatCode>
                <c:ptCount val="2"/>
                <c:pt idx="0">
                  <c:v>168.88888888888889</c:v>
                </c:pt>
                <c:pt idx="1">
                  <c:v>0</c:v>
                </c:pt>
              </c:numCache>
            </c:numRef>
          </c:xVal>
          <c:yVal>
            <c:numRef>
              <c:f>'Product Mix - Graph'!$I$31:$I$32</c:f>
              <c:numCache>
                <c:formatCode>General</c:formatCode>
                <c:ptCount val="2"/>
                <c:pt idx="0">
                  <c:v>0</c:v>
                </c:pt>
                <c:pt idx="1">
                  <c:v>180.95238095238096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656320"/>
        <c:axId val="153670784"/>
      </c:scatterChart>
      <c:valAx>
        <c:axId val="153656320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of A</a:t>
                </a:r>
              </a:p>
            </c:rich>
          </c:tx>
          <c:layout>
            <c:manualLayout>
              <c:xMode val="edge"/>
              <c:yMode val="edge"/>
              <c:x val="0.31194350201840682"/>
              <c:y val="0.88347117280438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670784"/>
        <c:crosses val="autoZero"/>
        <c:crossBetween val="midCat"/>
      </c:valAx>
      <c:valAx>
        <c:axId val="153670784"/>
        <c:scaling>
          <c:orientation val="minMax"/>
          <c:max val="2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Units of B</a:t>
                </a:r>
              </a:p>
            </c:rich>
          </c:tx>
          <c:layout>
            <c:manualLayout>
              <c:xMode val="edge"/>
              <c:yMode val="edge"/>
              <c:x val="2.8520548755968607E-2"/>
              <c:y val="0.38753490095407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65632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240755279278251"/>
          <c:y val="0.20596260470286229"/>
          <c:w val="0.33333391358538339"/>
          <c:h val="0.569107197205277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trlProps/ctrlProp1.xml><?xml version="1.0" encoding="utf-8"?>
<formControlPr xmlns="http://schemas.microsoft.com/office/spreadsheetml/2009/9/main" objectType="Spin" dx="16" fmlaLink="$E$8" inc="4" max="500" page="10" val="336"/>
</file>

<file path=xl/ctrlProps/ctrlProp2.xml><?xml version="1.0" encoding="utf-8"?>
<formControlPr xmlns="http://schemas.microsoft.com/office/spreadsheetml/2009/9/main" objectType="Spin" dx="16" fmlaLink="$F$8" inc="4" max="500" page="10" val="336"/>
</file>

<file path=xl/ctrlProps/ctrlProp3.xml><?xml version="1.0" encoding="utf-8"?>
<formControlPr xmlns="http://schemas.microsoft.com/office/spreadsheetml/2009/9/main" objectType="Spin" dx="16" fmlaLink="$G$8" inc="4" max="500" page="10" val="336"/>
</file>

<file path=xl/ctrlProps/ctrlProp4.xml><?xml version="1.0" encoding="utf-8"?>
<formControlPr xmlns="http://schemas.microsoft.com/office/spreadsheetml/2009/9/main" objectType="Spin" dx="16" fmlaLink="$C$17" inc="10" max="1000" page="10" val="600"/>
</file>

<file path=xl/ctrlProps/ctrlProp5.xml><?xml version="1.0" encoding="utf-8"?>
<formControlPr xmlns="http://schemas.microsoft.com/office/spreadsheetml/2009/9/main" objectType="Spin" dx="16" fmlaLink="$C$18" inc="10" max="1000" page="10" val="600"/>
</file>

<file path=xl/ctrlProps/ctrlProp6.xml><?xml version="1.0" encoding="utf-8"?>
<formControlPr xmlns="http://schemas.microsoft.com/office/spreadsheetml/2009/9/main" objectType="Spin" dx="16" fmlaLink="$E$7" max="500" page="10" val="30"/>
</file>

<file path=xl/ctrlProps/ctrlProp7.xml><?xml version="1.0" encoding="utf-8"?>
<formControlPr xmlns="http://schemas.microsoft.com/office/spreadsheetml/2009/9/main" objectType="Spin" dx="16" fmlaLink="$F$7" max="500" page="10" val="20"/>
</file>

<file path=xl/ctrlProps/ctrlProp8.xml><?xml version="1.0" encoding="utf-8"?>
<formControlPr xmlns="http://schemas.microsoft.com/office/spreadsheetml/2009/9/main" objectType="Spin" dx="16" fmlaLink="$G$7" max="500" page="10" val="2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1</xdr:row>
      <xdr:rowOff>95250</xdr:rowOff>
    </xdr:from>
    <xdr:to>
      <xdr:col>16</xdr:col>
      <xdr:colOff>152400</xdr:colOff>
      <xdr:row>10</xdr:row>
      <xdr:rowOff>1476375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6</xdr:row>
          <xdr:rowOff>304800</xdr:rowOff>
        </xdr:from>
        <xdr:to>
          <xdr:col>5</xdr:col>
          <xdr:colOff>19050</xdr:colOff>
          <xdr:row>8</xdr:row>
          <xdr:rowOff>19050</xdr:rowOff>
        </xdr:to>
        <xdr:sp macro="" textlink="">
          <xdr:nvSpPr>
            <xdr:cNvPr id="11266" name="Spinner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7</xdr:row>
          <xdr:rowOff>0</xdr:rowOff>
        </xdr:from>
        <xdr:to>
          <xdr:col>6</xdr:col>
          <xdr:colOff>47625</xdr:colOff>
          <xdr:row>8</xdr:row>
          <xdr:rowOff>28575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7</xdr:row>
          <xdr:rowOff>0</xdr:rowOff>
        </xdr:from>
        <xdr:to>
          <xdr:col>7</xdr:col>
          <xdr:colOff>66675</xdr:colOff>
          <xdr:row>8</xdr:row>
          <xdr:rowOff>28575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15</xdr:row>
          <xdr:rowOff>133350</xdr:rowOff>
        </xdr:from>
        <xdr:to>
          <xdr:col>3</xdr:col>
          <xdr:colOff>38100</xdr:colOff>
          <xdr:row>17</xdr:row>
          <xdr:rowOff>9525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17</xdr:row>
          <xdr:rowOff>19050</xdr:rowOff>
        </xdr:from>
        <xdr:to>
          <xdr:col>3</xdr:col>
          <xdr:colOff>38100</xdr:colOff>
          <xdr:row>18</xdr:row>
          <xdr:rowOff>38100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5</xdr:row>
          <xdr:rowOff>133350</xdr:rowOff>
        </xdr:from>
        <xdr:to>
          <xdr:col>5</xdr:col>
          <xdr:colOff>19050</xdr:colOff>
          <xdr:row>7</xdr:row>
          <xdr:rowOff>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5</xdr:row>
          <xdr:rowOff>133350</xdr:rowOff>
        </xdr:from>
        <xdr:to>
          <xdr:col>6</xdr:col>
          <xdr:colOff>47625</xdr:colOff>
          <xdr:row>7</xdr:row>
          <xdr:rowOff>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5</xdr:row>
          <xdr:rowOff>123825</xdr:rowOff>
        </xdr:from>
        <xdr:to>
          <xdr:col>7</xdr:col>
          <xdr:colOff>66675</xdr:colOff>
          <xdr:row>6</xdr:row>
          <xdr:rowOff>304800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1</xdr:row>
      <xdr:rowOff>38100</xdr:rowOff>
    </xdr:from>
    <xdr:to>
      <xdr:col>15</xdr:col>
      <xdr:colOff>28575</xdr:colOff>
      <xdr:row>22</xdr:row>
      <xdr:rowOff>85725</xdr:rowOff>
    </xdr:to>
    <xdr:graphicFrame macro="">
      <xdr:nvGraphicFramePr>
        <xdr:cNvPr id="122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7"/>
  <sheetViews>
    <sheetView tabSelected="1" workbookViewId="0"/>
  </sheetViews>
  <sheetFormatPr defaultRowHeight="12.75" x14ac:dyDescent="0.2"/>
  <cols>
    <col min="1" max="1" width="6.7109375" customWidth="1"/>
    <col min="2" max="2" width="8" customWidth="1"/>
    <col min="3" max="3" width="11.42578125" customWidth="1"/>
    <col min="4" max="4" width="10.5703125" customWidth="1"/>
    <col min="5" max="5" width="10.7109375" customWidth="1"/>
    <col min="6" max="6" width="9.42578125" customWidth="1"/>
    <col min="7" max="7" width="10.140625" customWidth="1"/>
    <col min="8" max="8" width="8.28515625" customWidth="1"/>
    <col min="9" max="9" width="8.7109375" customWidth="1"/>
    <col min="10" max="10" width="8.42578125" customWidth="1"/>
    <col min="11" max="11" width="10" customWidth="1"/>
  </cols>
  <sheetData>
    <row r="1" spans="1:12" ht="12.75" customHeight="1" x14ac:dyDescent="0.25">
      <c r="A1" s="6"/>
    </row>
    <row r="2" spans="1:12" ht="21.75" customHeight="1" x14ac:dyDescent="0.25">
      <c r="B2" s="53" t="s">
        <v>73</v>
      </c>
    </row>
    <row r="4" spans="1:12" ht="15.75" x14ac:dyDescent="0.25">
      <c r="E4" s="49" t="s">
        <v>19</v>
      </c>
    </row>
    <row r="5" spans="1:12" ht="6" customHeight="1" x14ac:dyDescent="0.2"/>
    <row r="6" spans="1:12" x14ac:dyDescent="0.2">
      <c r="A6" s="28"/>
      <c r="B6" s="28"/>
      <c r="C6" s="28"/>
      <c r="D6" s="28"/>
      <c r="E6" s="54" t="s">
        <v>13</v>
      </c>
      <c r="F6" s="54" t="s">
        <v>14</v>
      </c>
      <c r="G6" s="54" t="s">
        <v>15</v>
      </c>
      <c r="H6" s="28"/>
      <c r="I6" s="28"/>
      <c r="J6" s="28"/>
      <c r="K6" s="28"/>
      <c r="L6" s="28"/>
    </row>
    <row r="7" spans="1:12" ht="24.75" customHeight="1" x14ac:dyDescent="0.2">
      <c r="A7" s="28"/>
      <c r="B7" s="28"/>
      <c r="C7" s="28"/>
      <c r="D7" s="29" t="s">
        <v>12</v>
      </c>
      <c r="E7" s="42">
        <v>30</v>
      </c>
      <c r="F7" s="42">
        <v>20</v>
      </c>
      <c r="G7" s="42">
        <v>20</v>
      </c>
      <c r="H7" s="28"/>
      <c r="I7" s="28"/>
      <c r="J7" s="28"/>
      <c r="K7" s="28"/>
      <c r="L7" s="28"/>
    </row>
    <row r="8" spans="1:12" ht="24.75" customHeight="1" x14ac:dyDescent="0.2">
      <c r="A8" s="28"/>
      <c r="B8" s="28"/>
      <c r="C8" s="28"/>
      <c r="D8" s="29" t="s">
        <v>17</v>
      </c>
      <c r="E8" s="55">
        <v>336</v>
      </c>
      <c r="F8" s="55">
        <v>336</v>
      </c>
      <c r="G8" s="55">
        <v>336</v>
      </c>
      <c r="H8" s="28"/>
      <c r="I8" s="28"/>
      <c r="J8" s="28"/>
      <c r="K8" s="28"/>
      <c r="L8" s="28"/>
    </row>
    <row r="9" spans="1:12" ht="24.75" customHeight="1" x14ac:dyDescent="0.2">
      <c r="A9" s="28"/>
      <c r="B9" s="101" t="s">
        <v>43</v>
      </c>
      <c r="C9" s="101"/>
      <c r="D9" s="102"/>
      <c r="E9" s="43">
        <f>SUMPRODUCT(E17:E18,$E$22:$E$23)</f>
        <v>200</v>
      </c>
      <c r="F9" s="43">
        <f>SUMPRODUCT(F17:F18,$E$22:$E$23)</f>
        <v>125</v>
      </c>
      <c r="G9" s="43">
        <f>SUMPRODUCT(G17:G18,$E$22:$E$23)</f>
        <v>275</v>
      </c>
      <c r="H9" s="28"/>
      <c r="I9" s="28"/>
      <c r="J9" s="28"/>
      <c r="K9" s="28"/>
      <c r="L9" s="28"/>
    </row>
    <row r="10" spans="1:12" ht="24.75" customHeight="1" x14ac:dyDescent="0.2">
      <c r="A10" s="28"/>
      <c r="B10" s="29"/>
      <c r="C10" s="56"/>
      <c r="D10" s="57"/>
      <c r="E10" s="58"/>
      <c r="F10" s="58"/>
      <c r="G10" s="58"/>
      <c r="H10" s="28"/>
      <c r="I10" s="28"/>
      <c r="J10" s="28"/>
      <c r="K10" s="28"/>
      <c r="L10" s="28"/>
    </row>
    <row r="11" spans="1:12" ht="119.25" customHeight="1" x14ac:dyDescent="0.2">
      <c r="A11" s="28"/>
      <c r="B11" s="29"/>
      <c r="C11" s="56"/>
      <c r="D11" s="56"/>
      <c r="E11" s="56"/>
      <c r="F11" s="28"/>
      <c r="G11" s="28"/>
      <c r="H11" s="28"/>
      <c r="I11" s="28"/>
      <c r="J11" s="28"/>
      <c r="K11" s="28"/>
      <c r="L11" s="28"/>
    </row>
    <row r="12" spans="1:12" ht="23.25" customHeight="1" x14ac:dyDescent="0.2">
      <c r="A12" s="28"/>
      <c r="B12" s="28"/>
      <c r="C12" s="28"/>
      <c r="D12" s="56"/>
      <c r="E12" s="50" t="s">
        <v>18</v>
      </c>
      <c r="F12" s="28"/>
      <c r="G12" s="28"/>
      <c r="H12" s="28"/>
      <c r="I12" s="28"/>
      <c r="J12" s="28"/>
      <c r="K12" s="28"/>
      <c r="L12" s="28"/>
    </row>
    <row r="13" spans="1:12" ht="6" customHeight="1" x14ac:dyDescent="0.2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</row>
    <row r="14" spans="1:12" x14ac:dyDescent="0.2">
      <c r="A14" s="28"/>
      <c r="B14" s="59"/>
      <c r="C14" s="60" t="s">
        <v>11</v>
      </c>
      <c r="D14" s="60" t="s">
        <v>11</v>
      </c>
      <c r="E14" s="59"/>
      <c r="F14" s="61"/>
      <c r="G14" s="61"/>
      <c r="H14" s="60" t="s">
        <v>11</v>
      </c>
      <c r="I14" s="60" t="s">
        <v>11</v>
      </c>
      <c r="J14" s="59"/>
      <c r="K14" s="62"/>
      <c r="L14" s="28"/>
    </row>
    <row r="15" spans="1:12" x14ac:dyDescent="0.2">
      <c r="A15" s="28"/>
      <c r="B15" s="63"/>
      <c r="C15" s="63" t="s">
        <v>3</v>
      </c>
      <c r="D15" s="63" t="s">
        <v>9</v>
      </c>
      <c r="E15" s="64"/>
      <c r="F15" s="65" t="s">
        <v>16</v>
      </c>
      <c r="G15" s="66"/>
      <c r="H15" s="63" t="s">
        <v>4</v>
      </c>
      <c r="I15" s="63" t="s">
        <v>21</v>
      </c>
      <c r="J15" s="67" t="s">
        <v>26</v>
      </c>
      <c r="K15" s="68"/>
      <c r="L15" s="28"/>
    </row>
    <row r="16" spans="1:12" x14ac:dyDescent="0.2">
      <c r="A16" s="28"/>
      <c r="B16" s="38" t="s">
        <v>8</v>
      </c>
      <c r="C16" s="38" t="s">
        <v>5</v>
      </c>
      <c r="D16" s="38" t="s">
        <v>10</v>
      </c>
      <c r="E16" s="38" t="s">
        <v>13</v>
      </c>
      <c r="F16" s="54" t="s">
        <v>14</v>
      </c>
      <c r="G16" s="54" t="s">
        <v>15</v>
      </c>
      <c r="H16" s="38" t="s">
        <v>10</v>
      </c>
      <c r="I16" s="38" t="s">
        <v>22</v>
      </c>
      <c r="J16" s="38" t="s">
        <v>6</v>
      </c>
      <c r="K16" s="69" t="s">
        <v>7</v>
      </c>
      <c r="L16" s="70"/>
    </row>
    <row r="17" spans="1:12" ht="21" customHeight="1" x14ac:dyDescent="0.2">
      <c r="A17" s="28"/>
      <c r="B17" s="32" t="s">
        <v>0</v>
      </c>
      <c r="C17" s="33">
        <v>600</v>
      </c>
      <c r="D17" s="33">
        <v>50</v>
      </c>
      <c r="E17" s="34">
        <v>2</v>
      </c>
      <c r="F17" s="34">
        <v>0</v>
      </c>
      <c r="G17" s="34">
        <v>2</v>
      </c>
      <c r="H17" s="35">
        <f>SUMPRODUCT($E$7:$G$7,E17:G17)</f>
        <v>100</v>
      </c>
      <c r="I17" s="35">
        <f>C17-D17-H17</f>
        <v>450</v>
      </c>
      <c r="J17" s="36">
        <v>75</v>
      </c>
      <c r="K17" s="37">
        <v>140</v>
      </c>
      <c r="L17" s="65"/>
    </row>
    <row r="18" spans="1:12" ht="22.5" customHeight="1" x14ac:dyDescent="0.2">
      <c r="A18" s="28"/>
      <c r="B18" s="38" t="s">
        <v>1</v>
      </c>
      <c r="C18" s="39">
        <v>600</v>
      </c>
      <c r="D18" s="39">
        <v>100</v>
      </c>
      <c r="E18" s="34">
        <v>0</v>
      </c>
      <c r="F18" s="34">
        <v>2.5</v>
      </c>
      <c r="G18" s="34">
        <v>1.5</v>
      </c>
      <c r="H18" s="35">
        <f>SUMPRODUCT($E$7:$G$7,E18:G18)</f>
        <v>80</v>
      </c>
      <c r="I18" s="35">
        <f>C18-D18-H18</f>
        <v>420</v>
      </c>
      <c r="J18" s="40">
        <v>0</v>
      </c>
      <c r="K18" s="41">
        <v>140</v>
      </c>
      <c r="L18" s="65"/>
    </row>
    <row r="19" spans="1:12" x14ac:dyDescent="0.2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1:12" ht="15.75" x14ac:dyDescent="0.2">
      <c r="A20" s="28"/>
      <c r="B20" s="28"/>
      <c r="C20" s="28"/>
      <c r="D20" s="28"/>
      <c r="E20" s="50" t="s">
        <v>20</v>
      </c>
      <c r="F20" s="28"/>
      <c r="G20" s="28"/>
      <c r="H20" s="28"/>
      <c r="I20" s="28"/>
      <c r="J20" s="28"/>
      <c r="K20" s="28"/>
      <c r="L20" s="28"/>
    </row>
    <row r="21" spans="1:12" ht="5.25" customHeight="1" x14ac:dyDescent="0.2">
      <c r="A21" s="28"/>
      <c r="B21" s="28"/>
      <c r="C21" s="28"/>
      <c r="D21" s="28"/>
      <c r="E21" s="28"/>
      <c r="F21" s="28"/>
      <c r="G21" s="28"/>
      <c r="H21" s="66"/>
      <c r="I21" s="28"/>
      <c r="J21" s="28"/>
      <c r="K21" s="28"/>
      <c r="L21" s="28"/>
    </row>
    <row r="22" spans="1:12" ht="18.75" customHeight="1" x14ac:dyDescent="0.2">
      <c r="A22" s="28"/>
      <c r="B22" s="28"/>
      <c r="C22" s="28"/>
      <c r="D22" s="30" t="s">
        <v>24</v>
      </c>
      <c r="E22" s="71">
        <v>100</v>
      </c>
      <c r="F22" s="72"/>
      <c r="G22" s="28"/>
      <c r="H22" s="73"/>
      <c r="I22" s="28"/>
      <c r="J22" s="28"/>
      <c r="K22" s="28"/>
      <c r="L22" s="74"/>
    </row>
    <row r="23" spans="1:12" ht="18.75" customHeight="1" x14ac:dyDescent="0.2">
      <c r="A23" s="28"/>
      <c r="B23" s="28"/>
      <c r="C23" s="28"/>
      <c r="D23" s="30" t="s">
        <v>25</v>
      </c>
      <c r="E23" s="71">
        <v>50</v>
      </c>
      <c r="F23" s="72"/>
      <c r="G23" s="28"/>
      <c r="H23" s="75"/>
      <c r="I23" s="28"/>
      <c r="J23" s="28"/>
      <c r="K23" s="28"/>
      <c r="L23" s="28"/>
    </row>
    <row r="24" spans="1:12" x14ac:dyDescent="0.2">
      <c r="A24" s="28"/>
      <c r="B24" s="28"/>
      <c r="C24" s="28"/>
      <c r="D24" s="28"/>
      <c r="E24" s="28"/>
      <c r="F24" s="28"/>
      <c r="G24" s="28"/>
      <c r="H24" s="75"/>
      <c r="I24" s="28"/>
      <c r="J24" s="28"/>
      <c r="K24" s="28"/>
      <c r="L24" s="28"/>
    </row>
    <row r="25" spans="1:12" ht="18.75" customHeight="1" x14ac:dyDescent="0.2">
      <c r="A25" s="28"/>
      <c r="B25" s="28"/>
      <c r="C25" s="28"/>
      <c r="D25" s="30" t="s">
        <v>23</v>
      </c>
      <c r="E25" s="31">
        <f>SUMPRODUCT(E22:E23,I17:I18)</f>
        <v>66000</v>
      </c>
      <c r="F25" s="28"/>
      <c r="G25" s="28"/>
      <c r="H25" s="75"/>
      <c r="I25" s="28"/>
      <c r="J25" s="28"/>
      <c r="K25" s="28"/>
      <c r="L25" s="28"/>
    </row>
    <row r="26" spans="1:12" x14ac:dyDescent="0.2">
      <c r="H26" s="7"/>
    </row>
    <row r="27" spans="1:12" x14ac:dyDescent="0.2">
      <c r="H27" s="7"/>
    </row>
  </sheetData>
  <mergeCells count="1">
    <mergeCell ref="B9:D9"/>
  </mergeCells>
  <phoneticPr fontId="0" type="noConversion"/>
  <conditionalFormatting sqref="E10:G10">
    <cfRule type="cellIs" dxfId="9" priority="1" stopIfTrue="1" operator="equal">
      <formula>"OK"</formula>
    </cfRule>
    <cfRule type="cellIs" dxfId="8" priority="2" stopIfTrue="1" operator="notEqual">
      <formula>"OK"</formula>
    </cfRule>
  </conditionalFormatting>
  <conditionalFormatting sqref="L17:L18">
    <cfRule type="cellIs" dxfId="7" priority="3" stopIfTrue="1" operator="equal">
      <formula>"OK"</formula>
    </cfRule>
    <cfRule type="cellIs" dxfId="6" priority="4" stopIfTrue="1" operator="notEqual">
      <formula>"OK"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Spinner 2">
              <controlPr defaultSize="0" autoPict="0">
                <anchor moveWithCells="1" sizeWithCells="1">
                  <from>
                    <xdr:col>4</xdr:col>
                    <xdr:colOff>542925</xdr:colOff>
                    <xdr:row>6</xdr:row>
                    <xdr:rowOff>304800</xdr:rowOff>
                  </from>
                  <to>
                    <xdr:col>5</xdr:col>
                    <xdr:colOff>19050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Spinner 3">
              <controlPr defaultSize="0" autoPict="0">
                <anchor moveWithCells="1" sizeWithCells="1">
                  <from>
                    <xdr:col>5</xdr:col>
                    <xdr:colOff>485775</xdr:colOff>
                    <xdr:row>7</xdr:row>
                    <xdr:rowOff>0</xdr:rowOff>
                  </from>
                  <to>
                    <xdr:col>6</xdr:col>
                    <xdr:colOff>47625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Spinner 4">
              <controlPr defaultSize="0" autoPict="0">
                <anchor moveWithCells="1" sizeWithCells="1">
                  <from>
                    <xdr:col>6</xdr:col>
                    <xdr:colOff>552450</xdr:colOff>
                    <xdr:row>7</xdr:row>
                    <xdr:rowOff>0</xdr:rowOff>
                  </from>
                  <to>
                    <xdr:col>7</xdr:col>
                    <xdr:colOff>66675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Spinner 5">
              <controlPr defaultSize="0" autoPict="0">
                <anchor moveWithCells="1" sizeWithCells="1">
                  <from>
                    <xdr:col>2</xdr:col>
                    <xdr:colOff>581025</xdr:colOff>
                    <xdr:row>15</xdr:row>
                    <xdr:rowOff>133350</xdr:rowOff>
                  </from>
                  <to>
                    <xdr:col>3</xdr:col>
                    <xdr:colOff>38100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Spinner 6">
              <controlPr defaultSize="0" autoPict="0">
                <anchor moveWithCells="1" sizeWithCells="1">
                  <from>
                    <xdr:col>2</xdr:col>
                    <xdr:colOff>581025</xdr:colOff>
                    <xdr:row>17</xdr:row>
                    <xdr:rowOff>19050</xdr:rowOff>
                  </from>
                  <to>
                    <xdr:col>3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Spinner 7">
              <controlPr defaultSize="0" autoPict="0">
                <anchor moveWithCells="1" sizeWithCells="1">
                  <from>
                    <xdr:col>4</xdr:col>
                    <xdr:colOff>542925</xdr:colOff>
                    <xdr:row>5</xdr:row>
                    <xdr:rowOff>133350</xdr:rowOff>
                  </from>
                  <to>
                    <xdr:col>5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Spinner 8">
              <controlPr defaultSize="0" autoPict="0">
                <anchor moveWithCells="1" sizeWithCells="1">
                  <from>
                    <xdr:col>5</xdr:col>
                    <xdr:colOff>485775</xdr:colOff>
                    <xdr:row>5</xdr:row>
                    <xdr:rowOff>133350</xdr:rowOff>
                  </from>
                  <to>
                    <xdr:col>6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1" name="Spinner 9">
              <controlPr defaultSize="0" autoPict="0">
                <anchor moveWithCells="1" sizeWithCells="1">
                  <from>
                    <xdr:col>6</xdr:col>
                    <xdr:colOff>552450</xdr:colOff>
                    <xdr:row>5</xdr:row>
                    <xdr:rowOff>123825</xdr:rowOff>
                  </from>
                  <to>
                    <xdr:col>7</xdr:col>
                    <xdr:colOff>66675</xdr:colOff>
                    <xdr:row>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2:N159"/>
  <sheetViews>
    <sheetView workbookViewId="0"/>
  </sheetViews>
  <sheetFormatPr defaultRowHeight="12.75" x14ac:dyDescent="0.2"/>
  <cols>
    <col min="1" max="1" width="10.5703125" customWidth="1"/>
  </cols>
  <sheetData>
    <row r="2" spans="2:6" ht="18" x14ac:dyDescent="0.25">
      <c r="C2" s="52" t="s">
        <v>74</v>
      </c>
    </row>
    <row r="4" spans="2:6" x14ac:dyDescent="0.2">
      <c r="C4" s="4" t="s">
        <v>0</v>
      </c>
      <c r="D4" s="4" t="s">
        <v>1</v>
      </c>
    </row>
    <row r="5" spans="2:6" x14ac:dyDescent="0.2">
      <c r="B5" s="1" t="s">
        <v>27</v>
      </c>
      <c r="C5" s="8">
        <f>'Product Mix'!$E$17</f>
        <v>2</v>
      </c>
      <c r="D5" s="9">
        <f>'Product Mix'!$E$18</f>
        <v>0</v>
      </c>
      <c r="E5" s="9" t="s">
        <v>2</v>
      </c>
      <c r="F5" s="10">
        <f>'Product Mix'!$E$8</f>
        <v>336</v>
      </c>
    </row>
    <row r="6" spans="2:6" x14ac:dyDescent="0.2">
      <c r="B6" s="1"/>
      <c r="C6" s="11"/>
      <c r="D6" s="12"/>
      <c r="E6" s="12"/>
      <c r="F6" s="13"/>
    </row>
    <row r="7" spans="2:6" x14ac:dyDescent="0.2">
      <c r="B7" s="1" t="s">
        <v>28</v>
      </c>
      <c r="C7" s="11">
        <f>'Product Mix'!$F$17</f>
        <v>0</v>
      </c>
      <c r="D7" s="12">
        <f>'Product Mix'!$F$18</f>
        <v>2.5</v>
      </c>
      <c r="E7" s="12" t="s">
        <v>2</v>
      </c>
      <c r="F7" s="13">
        <f>'Product Mix'!$F$8</f>
        <v>336</v>
      </c>
    </row>
    <row r="8" spans="2:6" x14ac:dyDescent="0.2">
      <c r="B8" s="1"/>
      <c r="C8" s="11"/>
      <c r="D8" s="12"/>
      <c r="E8" s="12"/>
      <c r="F8" s="13"/>
    </row>
    <row r="9" spans="2:6" x14ac:dyDescent="0.2">
      <c r="B9" s="1" t="s">
        <v>29</v>
      </c>
      <c r="C9" s="11">
        <f>'Product Mix'!$G$17</f>
        <v>2</v>
      </c>
      <c r="D9" s="12">
        <f>'Product Mix'!$G$18</f>
        <v>1.5</v>
      </c>
      <c r="E9" s="12" t="s">
        <v>2</v>
      </c>
      <c r="F9" s="13">
        <f>'Product Mix'!$G$8</f>
        <v>336</v>
      </c>
    </row>
    <row r="10" spans="2:6" x14ac:dyDescent="0.2">
      <c r="B10" s="1"/>
      <c r="C10" s="11"/>
      <c r="D10" s="12"/>
      <c r="E10" s="12"/>
      <c r="F10" s="13"/>
    </row>
    <row r="11" spans="2:6" x14ac:dyDescent="0.2">
      <c r="B11" s="1" t="s">
        <v>31</v>
      </c>
      <c r="C11" s="11">
        <v>1</v>
      </c>
      <c r="D11" s="12">
        <v>0</v>
      </c>
      <c r="E11" s="12" t="s">
        <v>34</v>
      </c>
      <c r="F11" s="14">
        <f>'Product Mix'!$J$17</f>
        <v>75</v>
      </c>
    </row>
    <row r="12" spans="2:6" x14ac:dyDescent="0.2">
      <c r="B12" s="1"/>
      <c r="C12" s="11"/>
      <c r="D12" s="12"/>
      <c r="E12" s="12"/>
      <c r="F12" s="14"/>
    </row>
    <row r="13" spans="2:6" x14ac:dyDescent="0.2">
      <c r="B13" s="1" t="s">
        <v>30</v>
      </c>
      <c r="C13" s="11">
        <v>1</v>
      </c>
      <c r="D13" s="12">
        <v>0</v>
      </c>
      <c r="E13" s="12" t="s">
        <v>2</v>
      </c>
      <c r="F13" s="14">
        <f>'Product Mix'!$K$17</f>
        <v>140</v>
      </c>
    </row>
    <row r="14" spans="2:6" x14ac:dyDescent="0.2">
      <c r="B14" s="1"/>
      <c r="C14" s="11"/>
      <c r="D14" s="12"/>
      <c r="E14" s="12"/>
      <c r="F14" s="14"/>
    </row>
    <row r="15" spans="2:6" x14ac:dyDescent="0.2">
      <c r="B15" s="1" t="s">
        <v>33</v>
      </c>
      <c r="C15" s="11">
        <v>0</v>
      </c>
      <c r="D15" s="12">
        <v>1</v>
      </c>
      <c r="E15" s="12" t="s">
        <v>34</v>
      </c>
      <c r="F15" s="14">
        <f>'Product Mix'!$J$18</f>
        <v>0</v>
      </c>
    </row>
    <row r="16" spans="2:6" x14ac:dyDescent="0.2">
      <c r="B16" s="1"/>
      <c r="C16" s="11"/>
      <c r="D16" s="12"/>
      <c r="E16" s="12"/>
      <c r="F16" s="14"/>
    </row>
    <row r="17" spans="2:14" x14ac:dyDescent="0.2">
      <c r="B17" s="1" t="s">
        <v>32</v>
      </c>
      <c r="C17" s="17">
        <v>0</v>
      </c>
      <c r="D17" s="15">
        <v>1</v>
      </c>
      <c r="E17" s="15" t="s">
        <v>2</v>
      </c>
      <c r="F17" s="16">
        <f>'Product Mix'!$K$18</f>
        <v>140</v>
      </c>
    </row>
    <row r="18" spans="2:14" x14ac:dyDescent="0.2">
      <c r="B18" s="1"/>
      <c r="C18" s="18"/>
      <c r="D18" s="18"/>
      <c r="E18" s="18"/>
      <c r="F18" s="18"/>
    </row>
    <row r="19" spans="2:14" x14ac:dyDescent="0.2">
      <c r="B19" s="1" t="s">
        <v>35</v>
      </c>
      <c r="C19" s="3">
        <v>300</v>
      </c>
    </row>
    <row r="20" spans="2:14" x14ac:dyDescent="0.2">
      <c r="C20" s="2" t="s">
        <v>0</v>
      </c>
      <c r="D20" s="2" t="s">
        <v>1</v>
      </c>
    </row>
    <row r="21" spans="2:14" x14ac:dyDescent="0.2">
      <c r="B21" s="1" t="s">
        <v>27</v>
      </c>
      <c r="C21" s="8">
        <f>IF(C5=0,$C$19,F5/C5)</f>
        <v>168</v>
      </c>
      <c r="D21" s="19">
        <f>IF(D5=0,0,(F5-C5*C21)/D5)</f>
        <v>0</v>
      </c>
    </row>
    <row r="22" spans="2:14" x14ac:dyDescent="0.2">
      <c r="B22" s="1"/>
      <c r="C22" s="11">
        <f>IF(C5=0,0,(F5-D5*D22)/C5)</f>
        <v>168</v>
      </c>
      <c r="D22" s="14">
        <f>IF(D5=0,$C$19,(F5/D5))</f>
        <v>300</v>
      </c>
    </row>
    <row r="23" spans="2:14" x14ac:dyDescent="0.2">
      <c r="B23" s="1" t="s">
        <v>28</v>
      </c>
      <c r="C23" s="11">
        <f>IF(C7=0,$C$19,F7/C7)</f>
        <v>300</v>
      </c>
      <c r="D23" s="14">
        <f>IF(D7=0,0,(F7-C7*C23)/D7)</f>
        <v>134.4</v>
      </c>
    </row>
    <row r="24" spans="2:14" ht="18" x14ac:dyDescent="0.25">
      <c r="B24" s="1"/>
      <c r="C24" s="11">
        <f>IF(C7=0,0,(F7-D7*D24)/C7)</f>
        <v>0</v>
      </c>
      <c r="D24" s="14">
        <f>IF(D7=0,$C$19,(F7/D7))</f>
        <v>134.4</v>
      </c>
      <c r="H24" s="52" t="s">
        <v>36</v>
      </c>
      <c r="L24" s="52" t="s">
        <v>39</v>
      </c>
    </row>
    <row r="25" spans="2:14" x14ac:dyDescent="0.2">
      <c r="B25" s="1" t="s">
        <v>29</v>
      </c>
      <c r="C25" s="11">
        <f>IF(C9=0,$C$19,F9/C9)</f>
        <v>168</v>
      </c>
      <c r="D25" s="14">
        <f>IF(D9=0,0,(F9-C9*C25)/D9)</f>
        <v>0</v>
      </c>
      <c r="H25" s="2" t="s">
        <v>0</v>
      </c>
      <c r="I25" s="2" t="s">
        <v>1</v>
      </c>
      <c r="L25" s="2" t="s">
        <v>0</v>
      </c>
      <c r="M25" s="2" t="s">
        <v>1</v>
      </c>
    </row>
    <row r="26" spans="2:14" x14ac:dyDescent="0.2">
      <c r="C26" s="11">
        <f>IF(C9=0,0,(F9-D9*D26)/C9)</f>
        <v>0</v>
      </c>
      <c r="D26" s="14">
        <f>IF(D9=0,$C$19,(F9/D9))</f>
        <v>224</v>
      </c>
      <c r="G26" s="1" t="s">
        <v>38</v>
      </c>
      <c r="H26" s="8">
        <f>'Product Mix'!$I$17</f>
        <v>450</v>
      </c>
      <c r="I26" s="19">
        <f>'Product Mix'!$I$18</f>
        <v>420</v>
      </c>
      <c r="K26" s="1" t="s">
        <v>41</v>
      </c>
      <c r="L26" s="20">
        <f>'Product Mix'!$E$22</f>
        <v>100</v>
      </c>
      <c r="M26" s="21">
        <f>'Product Mix'!$E$23</f>
        <v>50</v>
      </c>
      <c r="N26" t="s">
        <v>40</v>
      </c>
    </row>
    <row r="27" spans="2:14" x14ac:dyDescent="0.2">
      <c r="B27" s="1" t="s">
        <v>31</v>
      </c>
      <c r="C27" s="11">
        <f>IF(C11=0,$C$19,F11/C11)</f>
        <v>75</v>
      </c>
      <c r="D27" s="14">
        <f>IF(D11=0,0,(F11-C11*C27)/D11)</f>
        <v>0</v>
      </c>
      <c r="F27" s="1" t="s">
        <v>37</v>
      </c>
      <c r="G27" s="22">
        <f>$G$29-$L$29</f>
        <v>56000</v>
      </c>
      <c r="H27" s="8">
        <f>IF($H$26=0,$C$19,G27/$H$26)</f>
        <v>124.44444444444444</v>
      </c>
      <c r="I27" s="19">
        <f>IF($I$26=0,0,(G27-$H$26*H27)/$I$26)</f>
        <v>0</v>
      </c>
    </row>
    <row r="28" spans="2:14" x14ac:dyDescent="0.2">
      <c r="B28" s="1"/>
      <c r="C28" s="11">
        <f>IF(C11=0,0,(F11-D11*D28)/C11)</f>
        <v>75</v>
      </c>
      <c r="D28" s="14">
        <f>IF(D11=0,$C$19,(F11/D11))</f>
        <v>300</v>
      </c>
      <c r="H28" s="11">
        <f>IF($H$26=0,0,(G27-$I$26*I28)/$H$26)</f>
        <v>-1.6168794698185391E-14</v>
      </c>
      <c r="I28" s="14">
        <f>IF($I$26=0,$C$19,(G27/$I$26))</f>
        <v>133.33333333333334</v>
      </c>
    </row>
    <row r="29" spans="2:14" x14ac:dyDescent="0.2">
      <c r="B29" s="1" t="s">
        <v>30</v>
      </c>
      <c r="C29" s="11">
        <f>IF(C13=0,$C$19,F13/C13)</f>
        <v>140</v>
      </c>
      <c r="D29" s="14">
        <f>IF(D13=0,0,(F13-C13*C29)/D13)</f>
        <v>0</v>
      </c>
      <c r="F29" s="1" t="s">
        <v>37</v>
      </c>
      <c r="G29" s="22">
        <f>'Product Mix'!$E$25</f>
        <v>66000</v>
      </c>
      <c r="H29" s="8">
        <f>IF($H$26=0,$C$19,G29/$H$26)</f>
        <v>146.66666666666666</v>
      </c>
      <c r="I29" s="19">
        <f>IF($I$26=0,0,(G29-$H$26*H29)/$I$26)</f>
        <v>0</v>
      </c>
      <c r="K29" s="1" t="s">
        <v>42</v>
      </c>
      <c r="L29" s="23">
        <v>10000</v>
      </c>
    </row>
    <row r="30" spans="2:14" x14ac:dyDescent="0.2">
      <c r="B30" s="1"/>
      <c r="C30" s="11">
        <f>IF(C13=0,0,(F13-D13*D30)/C13)</f>
        <v>140</v>
      </c>
      <c r="D30" s="14">
        <f>IF(D13=0,$C$19,(F13/D13))</f>
        <v>300</v>
      </c>
      <c r="H30" s="17">
        <f>IF($H$26=0,0,(G29-$I$26*I30)/$H$26)</f>
        <v>0</v>
      </c>
      <c r="I30" s="16">
        <f>IF($I$26=0,$C$19,(G29/$I$26))</f>
        <v>157.14285714285714</v>
      </c>
    </row>
    <row r="31" spans="2:14" x14ac:dyDescent="0.2">
      <c r="B31" s="1" t="s">
        <v>33</v>
      </c>
      <c r="C31" s="11">
        <f>IF(C15=0,$C$19,F15/C15)</f>
        <v>300</v>
      </c>
      <c r="D31" s="14">
        <f>IF(D15=0,0,(F15-C15*C31)/D15)</f>
        <v>0</v>
      </c>
      <c r="F31" s="1" t="s">
        <v>37</v>
      </c>
      <c r="G31" s="22">
        <f>$G$29+$L$29</f>
        <v>76000</v>
      </c>
      <c r="H31" s="8">
        <f>IF($H$26=0,$C$19,G31/$H$26)</f>
        <v>168.88888888888889</v>
      </c>
      <c r="I31" s="19">
        <f>IF($I$26=0,0,(G31-$H$26*H31)/$I$26)</f>
        <v>0</v>
      </c>
    </row>
    <row r="32" spans="2:14" x14ac:dyDescent="0.2">
      <c r="B32" s="1"/>
      <c r="C32" s="11">
        <f>IF(C15=0,0,(F15-D15*D32)/C15)</f>
        <v>0</v>
      </c>
      <c r="D32" s="14">
        <f>IF(D15=0,$C$19,(F15/D15))</f>
        <v>0</v>
      </c>
      <c r="H32" s="17">
        <f>IF($H$26=0,0,(G31-$I$26*I32)/$H$26)</f>
        <v>0</v>
      </c>
      <c r="I32" s="16">
        <f>IF($I$26=0,$C$19,(G31/$I$26))</f>
        <v>180.95238095238096</v>
      </c>
    </row>
    <row r="33" spans="2:4" x14ac:dyDescent="0.2">
      <c r="B33" s="1" t="s">
        <v>32</v>
      </c>
      <c r="C33" s="11">
        <f>IF(C17=0,$C$19,F17/C17)</f>
        <v>300</v>
      </c>
      <c r="D33" s="14">
        <f>IF(D17=0,0,(F17-C17*C33)/D17)</f>
        <v>140</v>
      </c>
    </row>
    <row r="34" spans="2:4" x14ac:dyDescent="0.2">
      <c r="C34" s="17">
        <f>IF(C17=0,0,(F17-D17*D34)/C17)</f>
        <v>0</v>
      </c>
      <c r="D34" s="16">
        <f>IF(D17=0,$C$19,(F17/D17))</f>
        <v>140</v>
      </c>
    </row>
    <row r="158" spans="1:1" x14ac:dyDescent="0.2">
      <c r="A158">
        <v>0</v>
      </c>
    </row>
    <row r="159" spans="1:1" x14ac:dyDescent="0.2">
      <c r="A159">
        <v>350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zoomScaleNormal="100" workbookViewId="0"/>
  </sheetViews>
  <sheetFormatPr defaultRowHeight="12.75" x14ac:dyDescent="0.2"/>
  <cols>
    <col min="1" max="1" width="17.28515625" style="76" customWidth="1"/>
    <col min="2" max="2" width="9.140625" style="76"/>
    <col min="3" max="4" width="9.28515625" style="76" customWidth="1"/>
    <col min="5" max="11" width="6.140625" style="76" customWidth="1"/>
    <col min="12" max="16384" width="9.140625" style="76"/>
  </cols>
  <sheetData>
    <row r="1" spans="1:12" ht="19.5" customHeight="1" x14ac:dyDescent="0.2">
      <c r="D1" s="77"/>
      <c r="E1" s="78"/>
    </row>
    <row r="2" spans="1:12" ht="19.5" customHeight="1" x14ac:dyDescent="0.2">
      <c r="D2" s="79" t="s">
        <v>75</v>
      </c>
      <c r="E2" s="80">
        <f>SUM(Boxes_Used)</f>
        <v>0</v>
      </c>
      <c r="J2" s="81"/>
      <c r="K2" s="78"/>
      <c r="L2" s="82"/>
    </row>
    <row r="3" spans="1:12" x14ac:dyDescent="0.2">
      <c r="J3" s="82"/>
      <c r="K3" s="82"/>
      <c r="L3" s="82"/>
    </row>
    <row r="4" spans="1:12" x14ac:dyDescent="0.2">
      <c r="J4" s="81"/>
      <c r="K4" s="83"/>
      <c r="L4" s="82"/>
    </row>
    <row r="7" spans="1:12" ht="24" customHeight="1" x14ac:dyDescent="0.25">
      <c r="A7" s="84"/>
      <c r="B7" s="103" t="s">
        <v>76</v>
      </c>
      <c r="C7" s="104"/>
      <c r="D7" s="105"/>
      <c r="E7" s="106" t="s">
        <v>77</v>
      </c>
      <c r="F7" s="107"/>
      <c r="G7" s="107"/>
      <c r="H7" s="107"/>
      <c r="I7" s="107"/>
      <c r="J7" s="107"/>
      <c r="K7" s="107"/>
    </row>
    <row r="8" spans="1:12" ht="25.5" x14ac:dyDescent="0.2">
      <c r="B8" s="85"/>
      <c r="C8" s="86" t="s">
        <v>78</v>
      </c>
      <c r="D8" s="87" t="s">
        <v>79</v>
      </c>
      <c r="E8" s="88" t="s">
        <v>0</v>
      </c>
      <c r="F8" s="88" t="s">
        <v>1</v>
      </c>
      <c r="G8" s="88" t="s">
        <v>80</v>
      </c>
      <c r="H8" s="88" t="s">
        <v>81</v>
      </c>
      <c r="I8" s="88" t="s">
        <v>82</v>
      </c>
      <c r="J8" s="88" t="s">
        <v>83</v>
      </c>
      <c r="K8" s="88" t="s">
        <v>84</v>
      </c>
      <c r="L8" s="89" t="s">
        <v>85</v>
      </c>
    </row>
    <row r="9" spans="1:12" x14ac:dyDescent="0.2">
      <c r="B9" s="108" t="s">
        <v>86</v>
      </c>
      <c r="C9" s="98">
        <v>1.2</v>
      </c>
      <c r="D9" s="90">
        <v>1</v>
      </c>
      <c r="E9" s="91"/>
      <c r="F9" s="91"/>
      <c r="G9" s="91"/>
      <c r="H9" s="91"/>
      <c r="I9" s="91"/>
      <c r="J9" s="91"/>
      <c r="K9" s="91"/>
      <c r="L9" s="92">
        <f t="shared" ref="L9:L28" si="0">SUM(E9:K9)</f>
        <v>0</v>
      </c>
    </row>
    <row r="10" spans="1:12" x14ac:dyDescent="0.2">
      <c r="B10" s="109"/>
      <c r="C10" s="99">
        <v>2.2999999999999998</v>
      </c>
      <c r="D10" s="93">
        <v>2</v>
      </c>
      <c r="E10" s="91"/>
      <c r="F10" s="91"/>
      <c r="G10" s="91"/>
      <c r="H10" s="91"/>
      <c r="I10" s="91"/>
      <c r="J10" s="91"/>
      <c r="K10" s="91"/>
      <c r="L10" s="92">
        <f t="shared" si="0"/>
        <v>0</v>
      </c>
    </row>
    <row r="11" spans="1:12" x14ac:dyDescent="0.2">
      <c r="B11" s="109"/>
      <c r="C11" s="99">
        <v>3.8</v>
      </c>
      <c r="D11" s="93">
        <v>3</v>
      </c>
      <c r="E11" s="91"/>
      <c r="F11" s="91"/>
      <c r="G11" s="91"/>
      <c r="H11" s="91"/>
      <c r="I11" s="91"/>
      <c r="J11" s="91"/>
      <c r="K11" s="91"/>
      <c r="L11" s="92">
        <f t="shared" si="0"/>
        <v>0</v>
      </c>
    </row>
    <row r="12" spans="1:12" x14ac:dyDescent="0.2">
      <c r="B12" s="109"/>
      <c r="C12" s="99">
        <v>3.3</v>
      </c>
      <c r="D12" s="93">
        <v>4</v>
      </c>
      <c r="E12" s="91"/>
      <c r="F12" s="91"/>
      <c r="G12" s="91"/>
      <c r="H12" s="91"/>
      <c r="I12" s="91"/>
      <c r="J12" s="91"/>
      <c r="K12" s="91"/>
      <c r="L12" s="92">
        <f t="shared" si="0"/>
        <v>0</v>
      </c>
    </row>
    <row r="13" spans="1:12" x14ac:dyDescent="0.2">
      <c r="B13" s="109"/>
      <c r="C13" s="99">
        <v>1.1000000000000001</v>
      </c>
      <c r="D13" s="93">
        <v>5</v>
      </c>
      <c r="E13" s="91"/>
      <c r="F13" s="91"/>
      <c r="G13" s="91"/>
      <c r="H13" s="91"/>
      <c r="I13" s="91"/>
      <c r="J13" s="91"/>
      <c r="K13" s="91"/>
      <c r="L13" s="92">
        <f t="shared" si="0"/>
        <v>0</v>
      </c>
    </row>
    <row r="14" spans="1:12" x14ac:dyDescent="0.2">
      <c r="B14" s="109"/>
      <c r="C14" s="99">
        <v>3.8</v>
      </c>
      <c r="D14" s="93">
        <v>6</v>
      </c>
      <c r="E14" s="91"/>
      <c r="F14" s="91"/>
      <c r="G14" s="91"/>
      <c r="H14" s="91"/>
      <c r="I14" s="91"/>
      <c r="J14" s="91"/>
      <c r="K14" s="91"/>
      <c r="L14" s="92">
        <f t="shared" si="0"/>
        <v>0</v>
      </c>
    </row>
    <row r="15" spans="1:12" x14ac:dyDescent="0.2">
      <c r="B15" s="109"/>
      <c r="C15" s="99">
        <v>2.2999999999999998</v>
      </c>
      <c r="D15" s="93">
        <v>7</v>
      </c>
      <c r="E15" s="91"/>
      <c r="F15" s="91"/>
      <c r="G15" s="91"/>
      <c r="H15" s="91"/>
      <c r="I15" s="91"/>
      <c r="J15" s="91"/>
      <c r="K15" s="91"/>
      <c r="L15" s="92">
        <f t="shared" si="0"/>
        <v>0</v>
      </c>
    </row>
    <row r="16" spans="1:12" x14ac:dyDescent="0.2">
      <c r="B16" s="109"/>
      <c r="C16" s="99">
        <v>0.2</v>
      </c>
      <c r="D16" s="93">
        <v>8</v>
      </c>
      <c r="E16" s="91"/>
      <c r="F16" s="91"/>
      <c r="G16" s="91"/>
      <c r="H16" s="91"/>
      <c r="I16" s="91"/>
      <c r="J16" s="91"/>
      <c r="K16" s="91"/>
      <c r="L16" s="92">
        <f t="shared" si="0"/>
        <v>0</v>
      </c>
    </row>
    <row r="17" spans="1:12" x14ac:dyDescent="0.2">
      <c r="B17" s="109"/>
      <c r="C17" s="99">
        <v>0.8</v>
      </c>
      <c r="D17" s="93">
        <v>9</v>
      </c>
      <c r="E17" s="91"/>
      <c r="F17" s="91"/>
      <c r="G17" s="91"/>
      <c r="H17" s="91"/>
      <c r="I17" s="91"/>
      <c r="J17" s="91"/>
      <c r="K17" s="91"/>
      <c r="L17" s="92">
        <f t="shared" si="0"/>
        <v>0</v>
      </c>
    </row>
    <row r="18" spans="1:12" x14ac:dyDescent="0.2">
      <c r="B18" s="109"/>
      <c r="C18" s="99">
        <v>3.2</v>
      </c>
      <c r="D18" s="93">
        <v>10</v>
      </c>
      <c r="E18" s="91"/>
      <c r="F18" s="91"/>
      <c r="G18" s="91"/>
      <c r="H18" s="91"/>
      <c r="I18" s="91"/>
      <c r="J18" s="91"/>
      <c r="K18" s="91"/>
      <c r="L18" s="92">
        <f t="shared" si="0"/>
        <v>0</v>
      </c>
    </row>
    <row r="19" spans="1:12" x14ac:dyDescent="0.2">
      <c r="B19" s="109"/>
      <c r="C19" s="99">
        <v>3.1</v>
      </c>
      <c r="D19" s="93">
        <v>11</v>
      </c>
      <c r="E19" s="91"/>
      <c r="F19" s="91"/>
      <c r="G19" s="91"/>
      <c r="H19" s="91"/>
      <c r="I19" s="91"/>
      <c r="J19" s="91"/>
      <c r="K19" s="91"/>
      <c r="L19" s="92">
        <f t="shared" si="0"/>
        <v>0</v>
      </c>
    </row>
    <row r="20" spans="1:12" x14ac:dyDescent="0.2">
      <c r="B20" s="109"/>
      <c r="C20" s="99">
        <v>3.5</v>
      </c>
      <c r="D20" s="93">
        <v>12</v>
      </c>
      <c r="E20" s="91"/>
      <c r="F20" s="91"/>
      <c r="G20" s="91"/>
      <c r="H20" s="91"/>
      <c r="I20" s="91"/>
      <c r="J20" s="91"/>
      <c r="K20" s="91"/>
      <c r="L20" s="92">
        <f t="shared" si="0"/>
        <v>0</v>
      </c>
    </row>
    <row r="21" spans="1:12" x14ac:dyDescent="0.2">
      <c r="B21" s="109"/>
      <c r="C21" s="99">
        <v>0.6</v>
      </c>
      <c r="D21" s="93">
        <v>13</v>
      </c>
      <c r="E21" s="91"/>
      <c r="F21" s="91"/>
      <c r="G21" s="91"/>
      <c r="H21" s="91"/>
      <c r="I21" s="91"/>
      <c r="J21" s="91"/>
      <c r="K21" s="91"/>
      <c r="L21" s="92">
        <f t="shared" si="0"/>
        <v>0</v>
      </c>
    </row>
    <row r="22" spans="1:12" x14ac:dyDescent="0.2">
      <c r="B22" s="109"/>
      <c r="C22" s="99">
        <v>2.2999999999999998</v>
      </c>
      <c r="D22" s="93">
        <v>14</v>
      </c>
      <c r="E22" s="91"/>
      <c r="F22" s="91"/>
      <c r="G22" s="91"/>
      <c r="H22" s="91"/>
      <c r="I22" s="91"/>
      <c r="J22" s="91"/>
      <c r="K22" s="91"/>
      <c r="L22" s="92">
        <f t="shared" si="0"/>
        <v>0</v>
      </c>
    </row>
    <row r="23" spans="1:12" x14ac:dyDescent="0.2">
      <c r="B23" s="109"/>
      <c r="C23" s="99">
        <v>0.9</v>
      </c>
      <c r="D23" s="93">
        <v>15</v>
      </c>
      <c r="E23" s="91"/>
      <c r="F23" s="91"/>
      <c r="G23" s="91"/>
      <c r="H23" s="91"/>
      <c r="I23" s="91"/>
      <c r="J23" s="91"/>
      <c r="K23" s="91"/>
      <c r="L23" s="92">
        <f t="shared" si="0"/>
        <v>0</v>
      </c>
    </row>
    <row r="24" spans="1:12" x14ac:dyDescent="0.2">
      <c r="B24" s="109"/>
      <c r="C24" s="99">
        <v>2.7</v>
      </c>
      <c r="D24" s="93">
        <v>16</v>
      </c>
      <c r="E24" s="91"/>
      <c r="F24" s="91"/>
      <c r="G24" s="91"/>
      <c r="H24" s="91"/>
      <c r="I24" s="91"/>
      <c r="J24" s="91"/>
      <c r="K24" s="91"/>
      <c r="L24" s="92">
        <f t="shared" si="0"/>
        <v>0</v>
      </c>
    </row>
    <row r="25" spans="1:12" x14ac:dyDescent="0.2">
      <c r="B25" s="109"/>
      <c r="C25" s="99">
        <v>3.6</v>
      </c>
      <c r="D25" s="93">
        <v>17</v>
      </c>
      <c r="E25" s="91"/>
      <c r="F25" s="91"/>
      <c r="G25" s="91"/>
      <c r="H25" s="91"/>
      <c r="I25" s="91"/>
      <c r="J25" s="91"/>
      <c r="K25" s="91"/>
      <c r="L25" s="92">
        <f t="shared" si="0"/>
        <v>0</v>
      </c>
    </row>
    <row r="26" spans="1:12" x14ac:dyDescent="0.2">
      <c r="B26" s="109"/>
      <c r="C26" s="99">
        <v>3.2</v>
      </c>
      <c r="D26" s="93">
        <v>18</v>
      </c>
      <c r="E26" s="91"/>
      <c r="F26" s="91"/>
      <c r="G26" s="91"/>
      <c r="H26" s="91"/>
      <c r="I26" s="91"/>
      <c r="J26" s="91"/>
      <c r="K26" s="91"/>
      <c r="L26" s="92">
        <f t="shared" si="0"/>
        <v>0</v>
      </c>
    </row>
    <row r="27" spans="1:12" x14ac:dyDescent="0.2">
      <c r="B27" s="109"/>
      <c r="C27" s="99">
        <v>4.3</v>
      </c>
      <c r="D27" s="93">
        <v>19</v>
      </c>
      <c r="E27" s="91"/>
      <c r="F27" s="91"/>
      <c r="G27" s="91"/>
      <c r="H27" s="91"/>
      <c r="I27" s="91"/>
      <c r="J27" s="91"/>
      <c r="K27" s="91"/>
      <c r="L27" s="92">
        <f t="shared" si="0"/>
        <v>0</v>
      </c>
    </row>
    <row r="28" spans="1:12" x14ac:dyDescent="0.2">
      <c r="B28" s="110"/>
      <c r="C28" s="100">
        <v>3.2</v>
      </c>
      <c r="D28" s="94">
        <v>20</v>
      </c>
      <c r="E28" s="91"/>
      <c r="F28" s="91"/>
      <c r="G28" s="91"/>
      <c r="H28" s="91"/>
      <c r="I28" s="91"/>
      <c r="J28" s="91"/>
      <c r="K28" s="91"/>
      <c r="L28" s="92">
        <f t="shared" si="0"/>
        <v>0</v>
      </c>
    </row>
    <row r="29" spans="1:12" ht="21" customHeight="1" x14ac:dyDescent="0.2">
      <c r="C29" s="111" t="s">
        <v>87</v>
      </c>
      <c r="D29" s="112"/>
      <c r="E29" s="95"/>
      <c r="F29" s="95"/>
      <c r="G29" s="95"/>
      <c r="H29" s="95"/>
      <c r="I29" s="95"/>
      <c r="J29" s="95"/>
      <c r="K29" s="95"/>
    </row>
    <row r="30" spans="1:12" ht="27.75" customHeight="1" x14ac:dyDescent="0.2">
      <c r="C30" s="111" t="s">
        <v>88</v>
      </c>
      <c r="D30" s="113"/>
      <c r="E30" s="96">
        <f t="shared" ref="E30:K30" si="1">SUMPRODUCT(E9:E28,Weights)</f>
        <v>0</v>
      </c>
      <c r="F30" s="96">
        <f t="shared" si="1"/>
        <v>0</v>
      </c>
      <c r="G30" s="96">
        <f t="shared" si="1"/>
        <v>0</v>
      </c>
      <c r="H30" s="96">
        <f t="shared" si="1"/>
        <v>0</v>
      </c>
      <c r="I30" s="96">
        <f t="shared" si="1"/>
        <v>0</v>
      </c>
      <c r="J30" s="96">
        <f t="shared" si="1"/>
        <v>0</v>
      </c>
      <c r="K30" s="96">
        <f t="shared" si="1"/>
        <v>0</v>
      </c>
    </row>
    <row r="31" spans="1:12" ht="27.75" customHeight="1" x14ac:dyDescent="0.2">
      <c r="A31" s="81"/>
      <c r="C31" s="111" t="s">
        <v>89</v>
      </c>
      <c r="D31" s="113"/>
      <c r="E31" s="97">
        <v>10</v>
      </c>
      <c r="F31" s="97">
        <v>10</v>
      </c>
      <c r="G31" s="97">
        <v>10</v>
      </c>
      <c r="H31" s="97">
        <v>10</v>
      </c>
      <c r="I31" s="97">
        <v>10</v>
      </c>
      <c r="J31" s="97">
        <v>10</v>
      </c>
      <c r="K31" s="97">
        <v>10</v>
      </c>
    </row>
  </sheetData>
  <mergeCells count="6">
    <mergeCell ref="C31:D31"/>
    <mergeCell ref="B7:D7"/>
    <mergeCell ref="E7:K7"/>
    <mergeCell ref="B9:B28"/>
    <mergeCell ref="C29:D29"/>
    <mergeCell ref="C30:D30"/>
  </mergeCells>
  <conditionalFormatting sqref="E9:K28">
    <cfRule type="cellIs" dxfId="5" priority="8" operator="greaterThan">
      <formula>0</formula>
    </cfRule>
  </conditionalFormatting>
  <conditionalFormatting sqref="E29:K29">
    <cfRule type="cellIs" dxfId="4" priority="7" operator="greaterThan">
      <formula>0</formula>
    </cfRule>
  </conditionalFormatting>
  <conditionalFormatting sqref="E8:K8 E30:K30">
    <cfRule type="expression" dxfId="3" priority="5">
      <formula>(E$30&gt;E$31)</formula>
    </cfRule>
  </conditionalFormatting>
  <conditionalFormatting sqref="L9:L28">
    <cfRule type="expression" dxfId="2" priority="3" stopIfTrue="1">
      <formula>($L9&gt;1)</formula>
    </cfRule>
  </conditionalFormatting>
  <conditionalFormatting sqref="L9:L28">
    <cfRule type="expression" dxfId="1" priority="2" stopIfTrue="1">
      <formula>($L9=1)</formula>
    </cfRule>
    <cfRule type="expression" dxfId="0" priority="4">
      <formula>($L9&lt;&gt;0)</formula>
    </cfRule>
  </conditionalFormatting>
  <dataValidations count="1">
    <dataValidation type="list" allowBlank="1" showInputMessage="1" showErrorMessage="1" sqref="K2">
      <formula1>$E$8:$K$8</formula1>
    </dataValidation>
  </dataValidation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2:Z25"/>
  <sheetViews>
    <sheetView workbookViewId="0"/>
  </sheetViews>
  <sheetFormatPr defaultRowHeight="12.75" x14ac:dyDescent="0.2"/>
  <cols>
    <col min="1" max="1" width="6.7109375" customWidth="1"/>
    <col min="2" max="2" width="14.28515625" customWidth="1"/>
    <col min="3" max="23" width="6.7109375" customWidth="1"/>
  </cols>
  <sheetData>
    <row r="2" spans="2:26" ht="20.25" x14ac:dyDescent="0.3">
      <c r="B2" s="51" t="s">
        <v>63</v>
      </c>
    </row>
    <row r="4" spans="2:26" ht="15.75" x14ac:dyDescent="0.25">
      <c r="K4" s="27" t="s">
        <v>59</v>
      </c>
    </row>
    <row r="6" spans="2:26" x14ac:dyDescent="0.2">
      <c r="C6" s="114" t="s">
        <v>64</v>
      </c>
      <c r="D6" s="114"/>
      <c r="E6" s="114"/>
      <c r="F6" s="114" t="s">
        <v>65</v>
      </c>
      <c r="G6" s="114"/>
      <c r="H6" s="114"/>
      <c r="I6" s="114" t="s">
        <v>66</v>
      </c>
      <c r="J6" s="114"/>
      <c r="K6" s="114"/>
      <c r="L6" s="114" t="s">
        <v>67</v>
      </c>
      <c r="M6" s="114"/>
      <c r="N6" s="114"/>
      <c r="O6" s="114" t="s">
        <v>68</v>
      </c>
      <c r="P6" s="114"/>
      <c r="Q6" s="114"/>
      <c r="R6" s="114" t="s">
        <v>69</v>
      </c>
      <c r="S6" s="114"/>
      <c r="T6" s="114"/>
      <c r="U6" s="114" t="s">
        <v>70</v>
      </c>
      <c r="V6" s="114"/>
      <c r="W6" s="114"/>
      <c r="X6" s="115"/>
      <c r="Y6" s="115"/>
      <c r="Z6" s="115"/>
    </row>
    <row r="7" spans="2:26" x14ac:dyDescent="0.2">
      <c r="C7" s="45" t="s">
        <v>60</v>
      </c>
      <c r="D7" s="46" t="s">
        <v>61</v>
      </c>
      <c r="E7" s="47" t="s">
        <v>62</v>
      </c>
      <c r="F7" s="45" t="s">
        <v>60</v>
      </c>
      <c r="G7" s="46" t="s">
        <v>61</v>
      </c>
      <c r="H7" s="47" t="s">
        <v>62</v>
      </c>
      <c r="I7" s="45" t="s">
        <v>60</v>
      </c>
      <c r="J7" s="46" t="s">
        <v>61</v>
      </c>
      <c r="K7" s="47" t="s">
        <v>62</v>
      </c>
      <c r="L7" s="45" t="s">
        <v>60</v>
      </c>
      <c r="M7" s="46" t="s">
        <v>61</v>
      </c>
      <c r="N7" s="47" t="s">
        <v>62</v>
      </c>
      <c r="O7" s="45" t="s">
        <v>60</v>
      </c>
      <c r="P7" s="46" t="s">
        <v>61</v>
      </c>
      <c r="Q7" s="47" t="s">
        <v>62</v>
      </c>
      <c r="R7" s="45" t="s">
        <v>60</v>
      </c>
      <c r="S7" s="46" t="s">
        <v>61</v>
      </c>
      <c r="T7" s="47" t="s">
        <v>62</v>
      </c>
      <c r="U7" s="45" t="s">
        <v>60</v>
      </c>
      <c r="V7" s="46" t="s">
        <v>61</v>
      </c>
      <c r="W7" s="47" t="s">
        <v>62</v>
      </c>
      <c r="X7" s="26"/>
      <c r="Y7" s="26"/>
      <c r="Z7" s="26"/>
    </row>
    <row r="8" spans="2:26" ht="25.5" customHeight="1" x14ac:dyDescent="0.2">
      <c r="B8" s="48" t="s">
        <v>72</v>
      </c>
      <c r="C8" s="44">
        <v>6</v>
      </c>
      <c r="D8" s="44">
        <v>5</v>
      </c>
      <c r="E8" s="44">
        <v>8</v>
      </c>
      <c r="F8" s="44">
        <v>6</v>
      </c>
      <c r="G8" s="44">
        <v>5</v>
      </c>
      <c r="H8" s="44">
        <v>8</v>
      </c>
      <c r="I8" s="44">
        <v>6</v>
      </c>
      <c r="J8" s="44">
        <v>5</v>
      </c>
      <c r="K8" s="44">
        <v>8</v>
      </c>
      <c r="L8" s="44">
        <v>6</v>
      </c>
      <c r="M8" s="44">
        <v>5</v>
      </c>
      <c r="N8" s="44">
        <v>8</v>
      </c>
      <c r="O8" s="44">
        <v>3</v>
      </c>
      <c r="P8" s="44">
        <v>8</v>
      </c>
      <c r="Q8" s="44">
        <v>4</v>
      </c>
      <c r="R8" s="44">
        <v>10</v>
      </c>
      <c r="S8" s="44">
        <v>14</v>
      </c>
      <c r="T8" s="44">
        <v>7</v>
      </c>
      <c r="U8" s="44">
        <v>4</v>
      </c>
      <c r="V8" s="44">
        <v>12</v>
      </c>
      <c r="W8" s="44">
        <v>6</v>
      </c>
    </row>
    <row r="10" spans="2:26" ht="15.75" x14ac:dyDescent="0.25">
      <c r="C10" s="6" t="s">
        <v>71</v>
      </c>
    </row>
    <row r="11" spans="2:26" ht="21" customHeight="1" x14ac:dyDescent="0.2">
      <c r="B11" s="1" t="s">
        <v>44</v>
      </c>
      <c r="C11" s="24">
        <v>0</v>
      </c>
    </row>
    <row r="12" spans="2:26" ht="21" customHeight="1" x14ac:dyDescent="0.2">
      <c r="B12" s="1" t="s">
        <v>45</v>
      </c>
      <c r="C12" s="24">
        <v>0</v>
      </c>
    </row>
    <row r="13" spans="2:26" ht="21" customHeight="1" x14ac:dyDescent="0.2">
      <c r="B13" s="1" t="s">
        <v>46</v>
      </c>
      <c r="C13" s="24">
        <v>0</v>
      </c>
    </row>
    <row r="14" spans="2:26" ht="21" customHeight="1" x14ac:dyDescent="0.2">
      <c r="B14" s="1" t="s">
        <v>47</v>
      </c>
      <c r="C14" s="24">
        <v>0</v>
      </c>
    </row>
    <row r="15" spans="2:26" ht="21" customHeight="1" x14ac:dyDescent="0.2">
      <c r="B15" s="1" t="s">
        <v>48</v>
      </c>
      <c r="C15" s="24">
        <v>0</v>
      </c>
    </row>
    <row r="16" spans="2:26" ht="21" customHeight="1" x14ac:dyDescent="0.2">
      <c r="B16" s="1" t="s">
        <v>49</v>
      </c>
      <c r="C16" s="24">
        <v>0</v>
      </c>
    </row>
    <row r="17" spans="2:3" ht="21" customHeight="1" x14ac:dyDescent="0.2">
      <c r="B17" s="1" t="s">
        <v>50</v>
      </c>
      <c r="C17" s="24">
        <v>0</v>
      </c>
    </row>
    <row r="18" spans="2:3" ht="21" customHeight="1" x14ac:dyDescent="0.2">
      <c r="B18" s="1" t="s">
        <v>51</v>
      </c>
      <c r="C18" s="24">
        <v>0</v>
      </c>
    </row>
    <row r="19" spans="2:3" ht="21" customHeight="1" x14ac:dyDescent="0.2">
      <c r="B19" s="1" t="s">
        <v>52</v>
      </c>
      <c r="C19" s="24">
        <v>0</v>
      </c>
    </row>
    <row r="20" spans="2:3" ht="21" customHeight="1" x14ac:dyDescent="0.2">
      <c r="B20" s="1" t="s">
        <v>53</v>
      </c>
      <c r="C20" s="24">
        <v>0</v>
      </c>
    </row>
    <row r="21" spans="2:3" ht="21" customHeight="1" x14ac:dyDescent="0.2">
      <c r="B21" s="1" t="s">
        <v>54</v>
      </c>
      <c r="C21" s="24">
        <v>0</v>
      </c>
    </row>
    <row r="22" spans="2:3" ht="21" customHeight="1" x14ac:dyDescent="0.2">
      <c r="B22" s="1" t="s">
        <v>55</v>
      </c>
      <c r="C22" s="24">
        <v>0</v>
      </c>
    </row>
    <row r="23" spans="2:3" ht="21" customHeight="1" x14ac:dyDescent="0.2">
      <c r="B23" s="1" t="s">
        <v>56</v>
      </c>
      <c r="C23" s="24">
        <v>0</v>
      </c>
    </row>
    <row r="24" spans="2:3" ht="21" customHeight="1" x14ac:dyDescent="0.2">
      <c r="B24" s="1" t="s">
        <v>57</v>
      </c>
      <c r="C24" s="24">
        <v>0</v>
      </c>
    </row>
    <row r="25" spans="2:3" ht="21" customHeight="1" x14ac:dyDescent="0.2">
      <c r="B25" s="5" t="s">
        <v>58</v>
      </c>
      <c r="C25" s="25">
        <f>SUM(C11:C24)</f>
        <v>0</v>
      </c>
    </row>
  </sheetData>
  <mergeCells count="8">
    <mergeCell ref="U6:W6"/>
    <mergeCell ref="X6:Z6"/>
    <mergeCell ref="C6:E6"/>
    <mergeCell ref="F6:H6"/>
    <mergeCell ref="I6:K6"/>
    <mergeCell ref="L6:N6"/>
    <mergeCell ref="O6:Q6"/>
    <mergeCell ref="R6:T6"/>
  </mergeCells>
  <phoneticPr fontId="0" type="noConversion"/>
  <pageMargins left="0.75" right="0.75" top="1" bottom="1" header="0.5" footer="0.5"/>
  <pageSetup scale="64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Product Mix</vt:lpstr>
      <vt:lpstr>Product Mix - Graph</vt:lpstr>
      <vt:lpstr>Box Packing</vt:lpstr>
      <vt:lpstr>Shift Scheduling</vt:lpstr>
      <vt:lpstr>A_Gross_Margin_per_Unit</vt:lpstr>
      <vt:lpstr>A_Max</vt:lpstr>
      <vt:lpstr>A_Min</vt:lpstr>
      <vt:lpstr>B_Gross_Margin_per_Unit</vt:lpstr>
      <vt:lpstr>B_Max</vt:lpstr>
      <vt:lpstr>B_Min</vt:lpstr>
      <vt:lpstr>'Box Packing'!Boxes</vt:lpstr>
      <vt:lpstr>'Box Packing'!Boxes_Used</vt:lpstr>
      <vt:lpstr>Hours_Available</vt:lpstr>
      <vt:lpstr>Hours_Used</vt:lpstr>
      <vt:lpstr>'Box Packing'!Items</vt:lpstr>
      <vt:lpstr>'Box Packing'!Items_Packed</vt:lpstr>
      <vt:lpstr>Max_Production_Quantities</vt:lpstr>
      <vt:lpstr>Min_Production_Quantities</vt:lpstr>
      <vt:lpstr>'Box Packing'!Packing_Matrix</vt:lpstr>
      <vt:lpstr>Production_Quantities</vt:lpstr>
      <vt:lpstr>Sector_1_Hours_Available</vt:lpstr>
      <vt:lpstr>Sector_1_Hours_Used</vt:lpstr>
      <vt:lpstr>Sector_2_Hours_Available</vt:lpstr>
      <vt:lpstr>Sector_2_Hours_Used</vt:lpstr>
      <vt:lpstr>Sector_3_Hours_Available</vt:lpstr>
      <vt:lpstr>Sector_3_Hours_Used</vt:lpstr>
      <vt:lpstr>'Box Packing'!Total_Boxes_Used</vt:lpstr>
      <vt:lpstr>Total_Gross_Margin</vt:lpstr>
      <vt:lpstr>'Box Packing'!Weights</vt:lpstr>
      <vt:lpstr>x_A</vt:lpstr>
      <vt:lpstr>x_B</vt:lpstr>
    </vt:vector>
  </TitlesOfParts>
  <Company>UW Business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kcaggiano</dc:creator>
  <cp:lastModifiedBy>kec4</cp:lastModifiedBy>
  <dcterms:created xsi:type="dcterms:W3CDTF">2001-11-14T17:51:27Z</dcterms:created>
  <dcterms:modified xsi:type="dcterms:W3CDTF">2013-02-22T19:18:02Z</dcterms:modified>
</cp:coreProperties>
</file>
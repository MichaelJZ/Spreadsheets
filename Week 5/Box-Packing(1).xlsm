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45" windowWidth="19035" windowHeight="12270"/>
  </bookViews>
  <sheets>
    <sheet name="Box Packing" sheetId="23" r:id="rId1"/>
  </sheets>
  <definedNames>
    <definedName name="anscount" hidden="1">1</definedName>
    <definedName name="Boxes">'Box Packing'!$E$10:$N$10</definedName>
    <definedName name="Boxes_Used">'Box Packing'!$E$31:$N$31</definedName>
    <definedName name="Items">'Box Packing'!$D$11:$D$30</definedName>
    <definedName name="Items_Packed">'Box Packing'!$O$11:$O$30</definedName>
    <definedName name="Next_Item">'Box Packing'!$K$6</definedName>
    <definedName name="Num_Items">'Box Packing'!$E$4</definedName>
    <definedName name="Num_Remaining_Items">'Box Packing'!$E$5</definedName>
    <definedName name="Packing_Matrix">'Box Packing'!$E$11:$N$30</definedName>
    <definedName name="Selected_Box">'Box Packing'!$K$2</definedName>
    <definedName name="sencount" hidden="1">1</definedName>
    <definedName name="solver_adj" localSheetId="0" hidden="1">'Box Packing'!$E$11:$N$31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'Box Packing'!$E$31:$N$31</definedName>
    <definedName name="solver_lhs2" localSheetId="0" hidden="1">'Box Packing'!$E$32:$N$32</definedName>
    <definedName name="solver_lhs3" localSheetId="0" hidden="1">'Box Packing'!$E$11:$N$31</definedName>
    <definedName name="solver_lhs4" localSheetId="0" hidden="1">'Box Packing'!$O$11:$O$30</definedName>
    <definedName name="solver_lhs5" localSheetId="0" hidden="1">'Box Packing'!$O$11:$O$30</definedName>
    <definedName name="solver_lhs6" localSheetId="0" hidden="1">'Box Packing'!$O$11:$O$30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4</definedName>
    <definedName name="solver_nwt" localSheetId="0" hidden="1">1</definedName>
    <definedName name="solver_opt" localSheetId="0" hidden="1">'Box Packing'!$E$2</definedName>
    <definedName name="solver_pre" localSheetId="0" hidden="1">0.000001</definedName>
    <definedName name="solver_rbv" localSheetId="0" hidden="1">2</definedName>
    <definedName name="solver_rel1" localSheetId="0" hidden="1">3</definedName>
    <definedName name="solver_rel2" localSheetId="0" hidden="1">1</definedName>
    <definedName name="solver_rel3" localSheetId="0" hidden="1">5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hs1" localSheetId="0" hidden="1">'Box Packing'!#REF!</definedName>
    <definedName name="solver_rhs2" localSheetId="0" hidden="1">'Box Packing'!$E$33:$N$33</definedName>
    <definedName name="solver_rhs3" localSheetId="0" hidden="1">binary</definedName>
    <definedName name="solver_rhs4" localSheetId="0" hidden="1">1</definedName>
    <definedName name="solver_rhs5" localSheetId="0" hidden="1">1</definedName>
    <definedName name="solver_rhs6" localSheetId="0" hidden="1">1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Total_Boxes_Used">'Box Packing'!$E$2</definedName>
    <definedName name="Weights">'Box Packing'!$C$11:$C$30</definedName>
  </definedNames>
  <calcPr calcId="145621"/>
</workbook>
</file>

<file path=xl/calcChain.xml><?xml version="1.0" encoding="utf-8"?>
<calcChain xmlns="http://schemas.openxmlformats.org/spreadsheetml/2006/main">
  <c r="E4" i="23" l="1"/>
  <c r="O12" i="23" l="1"/>
  <c r="O13" i="23"/>
  <c r="O14" i="23"/>
  <c r="O15" i="23"/>
  <c r="O16" i="23"/>
  <c r="O17" i="23"/>
  <c r="O18" i="23"/>
  <c r="O19" i="23"/>
  <c r="O20" i="23"/>
  <c r="O21" i="23"/>
  <c r="O22" i="23"/>
  <c r="O23" i="23"/>
  <c r="O24" i="23"/>
  <c r="O25" i="23"/>
  <c r="O26" i="23"/>
  <c r="O27" i="23"/>
  <c r="O28" i="23"/>
  <c r="O29" i="23"/>
  <c r="O30" i="23"/>
  <c r="O11" i="23" l="1"/>
  <c r="E5" i="23" s="1"/>
  <c r="J6" i="23"/>
  <c r="J4" i="23"/>
  <c r="E2" i="23" l="1"/>
</calcChain>
</file>

<file path=xl/sharedStrings.xml><?xml version="1.0" encoding="utf-8"?>
<sst xmlns="http://schemas.openxmlformats.org/spreadsheetml/2006/main" count="25" uniqueCount="24">
  <si>
    <t>Item</t>
  </si>
  <si>
    <t>Weight (lbs)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</si>
  <si>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</si>
  <si>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</si>
  <si>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</si>
  <si>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</si>
  <si>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</si>
  <si>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</si>
  <si>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</si>
  <si>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</si>
  <si>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</si>
  <si>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</si>
  <si>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Items to be Packed</t>
  </si>
  <si>
    <t>Item Packed</t>
  </si>
  <si>
    <t>Total Boxes Used:</t>
  </si>
  <si>
    <t>Box Used</t>
  </si>
  <si>
    <t>Select Box To Pack:</t>
  </si>
  <si>
    <t>Boxes</t>
  </si>
  <si>
    <t>Remaining Weight Allowed:</t>
  </si>
  <si>
    <t>Packing Assignment Matrix</t>
  </si>
  <si>
    <t>Maximum Weight for Box</t>
  </si>
  <si>
    <t>Current Weight of Box</t>
  </si>
  <si>
    <t>Number of Remaining Items to be Packed:</t>
  </si>
  <si>
    <t>Number of Items: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</si>
</sst>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0.0"/>
  </numFmts>
  <fonts count="7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i/>
      <sz val="10"/>
      <name val="Arial"/>
      <family val="2"/>
    </font>
    <font>
      <b/>
      <sz val="10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8">
    <xf numFmtId="0" fontId="0" fillId="0" borderId="0" xfId="0"/>
    <xf numFmtId="0" fontId="1" fillId="0" borderId="0" xfId="0" applyFont="1" applyAlignment="1">
      <alignment horizontal="right" vertical="center"/>
    </xf>
    <xf numFmtId="0" fontId="0" fillId="5" borderId="0" xfId="0" applyFill="1"/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164" fontId="1" fillId="2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1" fillId="0" borderId="0" xfId="0" applyFont="1" applyFill="1" applyBorder="1" applyAlignment="1">
      <alignment horizontal="right" vertical="center"/>
    </xf>
    <xf numFmtId="0" fontId="2" fillId="2" borderId="2" xfId="0" applyFont="1" applyFill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3" fillId="0" borderId="0" xfId="0" applyFont="1" applyBorder="1" applyAlignment="1"/>
    <xf numFmtId="0" fontId="1" fillId="3" borderId="10" xfId="0" applyFont="1" applyFill="1" applyBorder="1" applyAlignment="1">
      <alignment horizontal="center" wrapText="1"/>
    </xf>
    <xf numFmtId="0" fontId="1" fillId="3" borderId="8" xfId="0" applyFont="1" applyFill="1" applyBorder="1" applyAlignment="1">
      <alignment horizontal="center" wrapText="1"/>
    </xf>
    <xf numFmtId="0" fontId="1" fillId="6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 vertical="center"/>
    </xf>
    <xf numFmtId="164" fontId="1" fillId="6" borderId="1" xfId="0" applyNumberFormat="1" applyFont="1" applyFill="1" applyBorder="1" applyAlignment="1">
      <alignment horizontal="center" vertical="center"/>
    </xf>
    <xf numFmtId="1" fontId="1" fillId="6" borderId="1" xfId="0" applyNumberFormat="1" applyFont="1" applyFill="1" applyBorder="1" applyAlignment="1">
      <alignment horizontal="center" vertical="center"/>
    </xf>
    <xf numFmtId="0" fontId="1" fillId="6" borderId="1" xfId="0" applyNumberFormat="1" applyFont="1" applyFill="1" applyBorder="1" applyAlignment="1">
      <alignment horizontal="center" vertical="center"/>
    </xf>
    <xf numFmtId="164" fontId="2" fillId="4" borderId="4" xfId="0" applyNumberFormat="1" applyFont="1" applyFill="1" applyBorder="1" applyAlignment="1">
      <alignment horizontal="center" vertical="center"/>
    </xf>
    <xf numFmtId="164" fontId="2" fillId="4" borderId="3" xfId="0" applyNumberFormat="1" applyFont="1" applyFill="1" applyBorder="1" applyAlignment="1">
      <alignment horizontal="center" vertical="center"/>
    </xf>
    <xf numFmtId="164" fontId="2" fillId="4" borderId="7" xfId="0" applyNumberFormat="1" applyFont="1" applyFill="1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3" fillId="3" borderId="2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</cellXfs>
  <cellStyles count="4">
    <cellStyle name="Currency 2" xfId="2"/>
    <cellStyle name="Normal" xfId="0" builtinId="0"/>
    <cellStyle name="Normal 2" xfId="1"/>
    <cellStyle name="Percent 2" xfId="3"/>
  </cellStyles>
  <dxfs count="10">
    <dxf>
      <font>
        <b/>
        <i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00FF00"/>
        </patternFill>
      </fill>
    </dxf>
    <dxf>
      <font>
        <b/>
        <i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</font>
      <fill>
        <patternFill>
          <bgColor rgb="FFFF0000"/>
        </patternFill>
      </fill>
    </dxf>
    <dxf>
      <font>
        <b/>
        <i/>
      </font>
      <fill>
        <patternFill>
          <bgColor rgb="FFFF0000"/>
        </patternFill>
      </fill>
    </dxf>
    <dxf>
      <fill>
        <patternFill>
          <bgColor rgb="FF00FF00"/>
        </patternFill>
      </fill>
    </dxf>
    <dxf>
      <font>
        <b val="0"/>
        <i/>
      </font>
      <fill>
        <patternFill>
          <bgColor rgb="FF9966FF"/>
        </patternFill>
      </fill>
    </dxf>
    <dxf>
      <font>
        <b/>
        <i val="0"/>
      </font>
      <fill>
        <patternFill>
          <bgColor rgb="FF00FF00"/>
        </patternFill>
      </fill>
    </dxf>
  </dxfs>
  <tableStyles count="0" defaultTableStyle="TableStyleMedium9" defaultPivotStyle="PivotStyleLight16"/>
  <colors>
    <mruColors>
      <color rgb="FF00FF00"/>
      <color rgb="FFFFFFCC"/>
      <color rgb="FF9966FF"/>
      <color rgb="FFCC66FF"/>
      <color rgb="FFFFFF99"/>
      <color rgb="FFCCFFCC"/>
      <color rgb="FF66FF66"/>
      <color rgb="FF99FF99"/>
      <color rgb="FFFF99CC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257175</xdr:colOff>
          <xdr:row>10</xdr:row>
          <xdr:rowOff>9525</xdr:rowOff>
        </xdr:from>
        <xdr:to>
          <xdr:col>16</xdr:col>
          <xdr:colOff>495300</xdr:colOff>
          <xdr:row>13</xdr:row>
          <xdr:rowOff>47625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Packing Matrix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33"/>
  <sheetViews>
    <sheetView tabSelected="1" zoomScaleNormal="100" workbookViewId="0"/>
  </sheetViews>
  <sheetFormatPr defaultRowHeight="12.75" x14ac:dyDescent="0.2"/>
  <cols>
    <col min="1" max="1" width="17.28515625" customWidth="1"/>
    <col min="3" max="4" width="9.28515625" customWidth="1"/>
    <col min="5" max="14" width="6.140625" customWidth="1"/>
  </cols>
  <sheetData>
    <row r="1" spans="1:15" ht="19.5" customHeight="1" x14ac:dyDescent="0.2">
      <c r="D1" s="6"/>
      <c r="E1" s="7"/>
    </row>
    <row r="2" spans="1:15" ht="19.5" customHeight="1" x14ac:dyDescent="0.2">
      <c r="D2" s="8" t="s">
        <v>14</v>
      </c>
      <c r="E2" s="15">
        <f>SUM(Boxes_Used)</f>
        <v>0</v>
      </c>
      <c r="J2" s="1" t="s">
        <v>16</v>
      </c>
      <c r="K2" s="14" t="s">
        <v>2</v>
      </c>
    </row>
    <row r="3" spans="1:15" ht="19.5" customHeight="1" x14ac:dyDescent="0.2"/>
    <row r="4" spans="1:15" ht="19.5" customHeight="1" x14ac:dyDescent="0.2">
      <c r="D4" s="1" t="s">
        <v>23</v>
      </c>
      <c r="E4" s="22">
        <f>COUNTIF(Weights,"&gt;"&amp;0)</f>
        <v>20</v>
      </c>
      <c r="J4" s="1" t="str">
        <f>"Current Weight of Box "&amp; $K$2&amp;":"</f>
        <v>Current Weight of Box A:</v>
      </c>
      <c r="K4" s="21"/>
    </row>
    <row r="5" spans="1:15" ht="19.5" customHeight="1" x14ac:dyDescent="0.2">
      <c r="D5" s="1" t="s">
        <v>22</v>
      </c>
      <c r="E5" s="23">
        <f>Num_Items-SUMIF(Weights,"&gt;"&amp;0,Items_Packed)</f>
        <v>20</v>
      </c>
      <c r="J5" s="1" t="s">
        <v>18</v>
      </c>
      <c r="K5" s="21"/>
    </row>
    <row r="6" spans="1:15" ht="19.5" customHeight="1" x14ac:dyDescent="0.2">
      <c r="J6" s="1" t="str">
        <f>"Next Item to Add to Box "&amp; $K$2&amp;":"</f>
        <v>Next Item to Add to Box A:</v>
      </c>
      <c r="K6" s="22"/>
    </row>
    <row r="9" spans="1:15" ht="24" customHeight="1" x14ac:dyDescent="0.25">
      <c r="A9" s="16"/>
      <c r="B9" s="29" t="s">
        <v>19</v>
      </c>
      <c r="C9" s="30"/>
      <c r="D9" s="31"/>
      <c r="E9" s="32" t="s">
        <v>17</v>
      </c>
      <c r="F9" s="33"/>
      <c r="G9" s="33"/>
      <c r="H9" s="33"/>
      <c r="I9" s="33"/>
      <c r="J9" s="33"/>
      <c r="K9" s="33"/>
      <c r="L9" s="33"/>
      <c r="M9" s="33"/>
      <c r="N9" s="33"/>
    </row>
    <row r="10" spans="1:15" ht="25.5" x14ac:dyDescent="0.2">
      <c r="B10" s="2"/>
      <c r="C10" s="17" t="s">
        <v>1</v>
      </c>
      <c r="D10" s="18" t="s">
        <v>0</v>
      </c>
      <c r="E10" s="3" t="s">
        <v>2</v>
      </c>
      <c r="F10" s="3" t="s">
        <v>3</v>
      </c>
      <c r="G10" s="3" t="s">
        <v>4</v>
      </c>
      <c r="H10" s="3" t="s">
        <v>5</v>
      </c>
      <c r="I10" s="3" t="s">
        <v>6</v>
      </c>
      <c r="J10" s="3" t="s">
        <v>7</v>
      </c>
      <c r="K10" s="3" t="s">
        <v>8</v>
      </c>
      <c r="L10" s="3" t="s">
        <v>9</v>
      </c>
      <c r="M10" s="3" t="s">
        <v>10</v>
      </c>
      <c r="N10" s="3" t="s">
        <v>11</v>
      </c>
      <c r="O10" s="4" t="s">
        <v>13</v>
      </c>
    </row>
    <row r="11" spans="1:15" x14ac:dyDescent="0.2">
      <c r="B11" s="34" t="s">
        <v>12</v>
      </c>
      <c r="C11" s="24">
        <v>1.2</v>
      </c>
      <c r="D11" s="11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9">
        <f t="shared" ref="O11:O30" si="0">SUM(E11:N11)</f>
        <v>0</v>
      </c>
    </row>
    <row r="12" spans="1:15" x14ac:dyDescent="0.2">
      <c r="B12" s="35"/>
      <c r="C12" s="25">
        <v>2.2999999999999998</v>
      </c>
      <c r="D12" s="12">
        <v>2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9">
        <f t="shared" si="0"/>
        <v>0</v>
      </c>
    </row>
    <row r="13" spans="1:15" x14ac:dyDescent="0.2">
      <c r="B13" s="35"/>
      <c r="C13" s="25">
        <v>3.8</v>
      </c>
      <c r="D13" s="12">
        <v>3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9">
        <f t="shared" si="0"/>
        <v>0</v>
      </c>
    </row>
    <row r="14" spans="1:15" x14ac:dyDescent="0.2">
      <c r="B14" s="35"/>
      <c r="C14" s="25">
        <v>3.3</v>
      </c>
      <c r="D14" s="12">
        <v>4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9">
        <f t="shared" si="0"/>
        <v>0</v>
      </c>
    </row>
    <row r="15" spans="1:15" x14ac:dyDescent="0.2">
      <c r="B15" s="35"/>
      <c r="C15" s="25">
        <v>1.1000000000000001</v>
      </c>
      <c r="D15" s="12">
        <v>5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9">
        <f t="shared" si="0"/>
        <v>0</v>
      </c>
    </row>
    <row r="16" spans="1:15" x14ac:dyDescent="0.2">
      <c r="B16" s="35"/>
      <c r="C16" s="25">
        <v>3.8</v>
      </c>
      <c r="D16" s="12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9">
        <f t="shared" si="0"/>
        <v>0</v>
      </c>
    </row>
    <row r="17" spans="2:15" x14ac:dyDescent="0.2">
      <c r="B17" s="35"/>
      <c r="C17" s="25">
        <v>2.2999999999999998</v>
      </c>
      <c r="D17" s="12">
        <v>7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9">
        <f t="shared" si="0"/>
        <v>0</v>
      </c>
    </row>
    <row r="18" spans="2:15" x14ac:dyDescent="0.2">
      <c r="B18" s="35"/>
      <c r="C18" s="25">
        <v>0.2</v>
      </c>
      <c r="D18" s="12">
        <v>8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9">
        <f t="shared" si="0"/>
        <v>0</v>
      </c>
    </row>
    <row r="19" spans="2:15" x14ac:dyDescent="0.2">
      <c r="B19" s="35"/>
      <c r="C19" s="25">
        <v>0.8</v>
      </c>
      <c r="D19" s="12">
        <v>9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9">
        <f t="shared" si="0"/>
        <v>0</v>
      </c>
    </row>
    <row r="20" spans="2:15" x14ac:dyDescent="0.2">
      <c r="B20" s="35"/>
      <c r="C20" s="25">
        <v>3.2</v>
      </c>
      <c r="D20" s="12">
        <v>10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9">
        <f t="shared" si="0"/>
        <v>0</v>
      </c>
    </row>
    <row r="21" spans="2:15" x14ac:dyDescent="0.2">
      <c r="B21" s="35"/>
      <c r="C21" s="25">
        <v>3.1</v>
      </c>
      <c r="D21" s="12">
        <v>11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9">
        <f t="shared" si="0"/>
        <v>0</v>
      </c>
    </row>
    <row r="22" spans="2:15" x14ac:dyDescent="0.2">
      <c r="B22" s="35"/>
      <c r="C22" s="25">
        <v>3.5</v>
      </c>
      <c r="D22" s="12">
        <v>12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9">
        <f t="shared" si="0"/>
        <v>0</v>
      </c>
    </row>
    <row r="23" spans="2:15" x14ac:dyDescent="0.2">
      <c r="B23" s="35"/>
      <c r="C23" s="25">
        <v>0.6</v>
      </c>
      <c r="D23" s="12">
        <v>13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9">
        <f t="shared" si="0"/>
        <v>0</v>
      </c>
    </row>
    <row r="24" spans="2:15" x14ac:dyDescent="0.2">
      <c r="B24" s="35"/>
      <c r="C24" s="25">
        <v>2.2999999999999998</v>
      </c>
      <c r="D24" s="12">
        <v>14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9">
        <f t="shared" si="0"/>
        <v>0</v>
      </c>
    </row>
    <row r="25" spans="2:15" x14ac:dyDescent="0.2">
      <c r="B25" s="35"/>
      <c r="C25" s="25">
        <v>0.9</v>
      </c>
      <c r="D25" s="12">
        <v>15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9">
        <f t="shared" si="0"/>
        <v>0</v>
      </c>
    </row>
    <row r="26" spans="2:15" x14ac:dyDescent="0.2">
      <c r="B26" s="35"/>
      <c r="C26" s="25">
        <v>2.7</v>
      </c>
      <c r="D26" s="12">
        <v>16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9">
        <f t="shared" si="0"/>
        <v>0</v>
      </c>
    </row>
    <row r="27" spans="2:15" x14ac:dyDescent="0.2">
      <c r="B27" s="35"/>
      <c r="C27" s="25">
        <v>3.6</v>
      </c>
      <c r="D27" s="12">
        <v>17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9">
        <f t="shared" si="0"/>
        <v>0</v>
      </c>
    </row>
    <row r="28" spans="2:15" x14ac:dyDescent="0.2">
      <c r="B28" s="35"/>
      <c r="C28" s="25">
        <v>3.2</v>
      </c>
      <c r="D28" s="12">
        <v>18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9">
        <f t="shared" si="0"/>
        <v>0</v>
      </c>
    </row>
    <row r="29" spans="2:15" x14ac:dyDescent="0.2">
      <c r="B29" s="35"/>
      <c r="C29" s="25">
        <v>4.3</v>
      </c>
      <c r="D29" s="12">
        <v>19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9">
        <f t="shared" si="0"/>
        <v>0</v>
      </c>
    </row>
    <row r="30" spans="2:15" x14ac:dyDescent="0.2">
      <c r="B30" s="36"/>
      <c r="C30" s="26">
        <v>3.2</v>
      </c>
      <c r="D30" s="13">
        <v>20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9">
        <f t="shared" si="0"/>
        <v>0</v>
      </c>
    </row>
    <row r="31" spans="2:15" ht="21" customHeight="1" x14ac:dyDescent="0.2">
      <c r="C31" s="27" t="s">
        <v>15</v>
      </c>
      <c r="D31" s="37"/>
      <c r="E31" s="20"/>
      <c r="F31" s="20"/>
      <c r="G31" s="20"/>
      <c r="H31" s="20"/>
      <c r="I31" s="20"/>
      <c r="J31" s="20"/>
      <c r="K31" s="20"/>
      <c r="L31" s="20"/>
      <c r="M31" s="20"/>
      <c r="N31" s="20"/>
    </row>
    <row r="32" spans="2:15" ht="27.75" customHeight="1" x14ac:dyDescent="0.2">
      <c r="C32" s="27" t="s">
        <v>21</v>
      </c>
      <c r="D32" s="28"/>
      <c r="E32" s="21"/>
      <c r="F32" s="21"/>
      <c r="G32" s="21"/>
      <c r="H32" s="21"/>
      <c r="I32" s="21"/>
      <c r="J32" s="21"/>
      <c r="K32" s="21"/>
      <c r="L32" s="21"/>
      <c r="M32" s="21"/>
      <c r="N32" s="21"/>
    </row>
    <row r="33" spans="1:14" ht="27.75" customHeight="1" x14ac:dyDescent="0.2">
      <c r="A33" s="9"/>
      <c r="C33" s="27" t="s">
        <v>20</v>
      </c>
      <c r="D33" s="28"/>
      <c r="E33" s="5">
        <v>10</v>
      </c>
      <c r="F33" s="5">
        <v>10</v>
      </c>
      <c r="G33" s="5">
        <v>10</v>
      </c>
      <c r="H33" s="5">
        <v>10</v>
      </c>
      <c r="I33" s="5">
        <v>10</v>
      </c>
      <c r="J33" s="5">
        <v>10</v>
      </c>
      <c r="K33" s="5">
        <v>10</v>
      </c>
      <c r="L33" s="5">
        <v>10</v>
      </c>
      <c r="M33" s="5">
        <v>10</v>
      </c>
      <c r="N33" s="5">
        <v>10</v>
      </c>
    </row>
  </sheetData>
  <mergeCells count="6">
    <mergeCell ref="C33:D33"/>
    <mergeCell ref="B9:D9"/>
    <mergeCell ref="E9:N9"/>
    <mergeCell ref="B11:B30"/>
    <mergeCell ref="C31:D31"/>
    <mergeCell ref="C32:D32"/>
  </mergeCells>
  <conditionalFormatting sqref="E11:N30">
    <cfRule type="cellIs" dxfId="9" priority="11" operator="greaterThan">
      <formula>0</formula>
    </cfRule>
  </conditionalFormatting>
  <conditionalFormatting sqref="E11:N30">
    <cfRule type="expression" dxfId="8" priority="20">
      <formula>(E$10=$K$2)*($D11=$K$6)</formula>
    </cfRule>
  </conditionalFormatting>
  <conditionalFormatting sqref="E5">
    <cfRule type="cellIs" dxfId="7" priority="8" operator="equal">
      <formula>0</formula>
    </cfRule>
  </conditionalFormatting>
  <conditionalFormatting sqref="E10:N10">
    <cfRule type="expression" dxfId="6" priority="7">
      <formula>(E$32&gt;E$33)</formula>
    </cfRule>
  </conditionalFormatting>
  <conditionalFormatting sqref="O11:O30">
    <cfRule type="expression" dxfId="5" priority="5" stopIfTrue="1">
      <formula>($O11&gt;1)</formula>
    </cfRule>
  </conditionalFormatting>
  <conditionalFormatting sqref="O11:O30">
    <cfRule type="expression" dxfId="4" priority="4" stopIfTrue="1">
      <formula>($O11=1)</formula>
    </cfRule>
    <cfRule type="expression" dxfId="3" priority="6">
      <formula>($O11&lt;&gt;0)</formula>
    </cfRule>
  </conditionalFormatting>
  <conditionalFormatting sqref="E2">
    <cfRule type="expression" dxfId="2" priority="3">
      <formula>($E$5=0)</formula>
    </cfRule>
  </conditionalFormatting>
  <conditionalFormatting sqref="E31:N31">
    <cfRule type="cellIs" dxfId="1" priority="2" operator="greaterThan">
      <formula>0</formula>
    </cfRule>
  </conditionalFormatting>
  <conditionalFormatting sqref="E32:N32">
    <cfRule type="expression" dxfId="0" priority="1">
      <formula>(E$32&gt;E$33)</formula>
    </cfRule>
  </conditionalFormatting>
  <dataValidations disablePrompts="1" count="1">
    <dataValidation type="list" allowBlank="1" showInputMessage="1" showErrorMessage="1" sqref="K2">
      <formula1>$E$10:$N$10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7" r:id="rId3" name="Button 5">
              <controlPr defaultSize="0" print="0" autoFill="0" autoPict="0" macro="[0]!Reset_Matrix">
                <anchor moveWithCells="1" sizeWithCells="1">
                  <from>
                    <xdr:col>15</xdr:col>
                    <xdr:colOff>257175</xdr:colOff>
                    <xdr:row>10</xdr:row>
                    <xdr:rowOff>9525</xdr:rowOff>
                  </from>
                  <to>
                    <xdr:col>16</xdr:col>
                    <xdr:colOff>495300</xdr:colOff>
                    <xdr:row>13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2" baseType="lpstr">
      <vt:lpstr>Box Packing</vt:lpstr>
      <vt:lpstr>Boxes</vt:lpstr>
      <vt:lpstr>Boxes_Used</vt:lpstr>
      <vt:lpstr>Items</vt:lpstr>
      <vt:lpstr>Items_Packed</vt:lpstr>
      <vt:lpstr>Next_Item</vt:lpstr>
      <vt:lpstr>Num_Items</vt:lpstr>
      <vt:lpstr>Num_Remaining_Items</vt:lpstr>
      <vt:lpstr>Packing_Matrix</vt:lpstr>
      <vt:lpstr>Selected_Box</vt:lpstr>
      <vt:lpstr>Total_Boxes_Used</vt:lpstr>
      <vt:lpstr>Weights</vt:lpstr>
    </vt:vector>
  </TitlesOfParts>
  <Company>Cornell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kec4</dc:creator>
  <cp:lastModifiedBy>kec4</cp:lastModifiedBy>
  <dcterms:created xsi:type="dcterms:W3CDTF">2008-03-23T19:34:46Z</dcterms:created>
  <dcterms:modified xsi:type="dcterms:W3CDTF">2013-02-16T15:44:28Z</dcterms:modified>
</cp:coreProperties>
</file>
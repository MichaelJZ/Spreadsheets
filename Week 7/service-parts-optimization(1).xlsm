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15" windowWidth="11340" windowHeight="6540"/>
  </bookViews>
  <sheets>
    <sheet name="Store CSL Evaluation" sheetId="5" r:id="rId1"/>
    <sheet name="Store Parameters" sheetId="6" r:id="rId2"/>
    <sheet name="All Store Base Stock Levels" sheetId="7" r:id="rId3"/>
  </sheets>
  <definedNames>
    <definedName name="A_ltd">'Store CSL Evaluation'!$D$24</definedName>
    <definedName name="A_stock">'Store CSL Evaluation'!$D$12</definedName>
    <definedName name="All_Store_CSL_Table_Start">'All Store Base Stock Levels'!$D$7</definedName>
    <definedName name="B_ltd">'Store CSL Evaluation'!$E$24</definedName>
    <definedName name="B_stock">'Store CSL Evaluation'!$E$12</definedName>
    <definedName name="C_ltd">'Store CSL Evaluation'!$F$24</definedName>
    <definedName name="C_stock">'Store CSL Evaluation'!$F$12</definedName>
    <definedName name="CSL_current">'Store CSL Evaluation'!$D$19</definedName>
    <definedName name="CSL_target">'Store CSL Evaluation'!$H$19</definedName>
    <definedName name="CSL_target_ALL_STORES">'All Store Base Stock Levels'!$E$3</definedName>
    <definedName name="D_ltd">'Store CSL Evaluation'!$G$24</definedName>
    <definedName name="D_stock">'Store CSL Evaluation'!$G$12</definedName>
    <definedName name="Demand_Rate_Table">'Store Parameters'!$D$7:$I$16</definedName>
    <definedName name="E_ltd">'Store CSL Evaluation'!$H$24</definedName>
    <definedName name="E_stock">'Store CSL Evaluation'!$H$12</definedName>
    <definedName name="F_ltd">'Store CSL Evaluation'!$I$24</definedName>
    <definedName name="F_stock">'Store CSL Evaluation'!$I$12</definedName>
    <definedName name="Lead_Time_Table">'Store Parameters'!$D$22:$I$31</definedName>
    <definedName name="Next_Part">'Store CSL Evaluation'!$N$6</definedName>
    <definedName name="Part_List">'Store CSL Evaluation'!$D$9:$I$9</definedName>
    <definedName name="solver_adj" localSheetId="0" hidden="1">'Store CSL Evaluation'!$D$12:$I$12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hs1" localSheetId="0" hidden="1">'Store CSL Evaluation'!$D$19</definedName>
    <definedName name="solver_lhs2" localSheetId="0" hidden="1">'Store CSL Evaluation'!$D$12:$I$12</definedName>
    <definedName name="solver_lhs3" localSheetId="0" hidden="1">'Store CSL Evaluation'!$D$12:$I$12</definedName>
    <definedName name="solver_lhs4" localSheetId="0" hidden="1">'Store CSL Evaluation'!$D$12:$I$12</definedName>
    <definedName name="solver_lin" localSheetId="0" hidden="1">2</definedName>
    <definedName name="solver_neg" localSheetId="0" hidden="1">2</definedName>
    <definedName name="solver_num" localSheetId="0" hidden="1">4</definedName>
    <definedName name="solver_nwt" localSheetId="0" hidden="1">1</definedName>
    <definedName name="solver_opt" localSheetId="0" hidden="1">'Store CSL Evaluation'!$D$20</definedName>
    <definedName name="solver_pre" localSheetId="0" hidden="1">0.000001</definedName>
    <definedName name="solver_rel1" localSheetId="0" hidden="1">3</definedName>
    <definedName name="solver_rel2" localSheetId="0" hidden="1">3</definedName>
    <definedName name="solver_rel3" localSheetId="0" hidden="1">4</definedName>
    <definedName name="solver_rel4" localSheetId="0" hidden="1">3</definedName>
    <definedName name="solver_rhs1" localSheetId="0" hidden="1">'Store CSL Evaluation'!$H$19</definedName>
    <definedName name="solver_rhs2" localSheetId="0" hidden="1">0</definedName>
    <definedName name="solver_rhs3" localSheetId="0" hidden="1">integer</definedName>
    <definedName name="solver_rhs4" localSheetId="0" hidden="1">'Store CSL Evaluation'!$D$24:$I$24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  <definedName name="Store_List">'Store Parameters'!$C$7:$C$16</definedName>
    <definedName name="Store_To_Evaluate">'Store CSL Evaluation'!$D$6</definedName>
    <definedName name="Total_Inventory_Cost">'Store CSL Evaluation'!$D$20</definedName>
  </definedNames>
  <calcPr calcId="144525"/>
</workbook>
</file>

<file path=xl/calcChain.xml><?xml version="1.0" encoding="utf-8"?>
<calcChain xmlns="http://schemas.openxmlformats.org/spreadsheetml/2006/main">
  <c r="E31" i="5" l="1"/>
  <c r="F31" i="5"/>
  <c r="G31" i="5"/>
  <c r="H31" i="5"/>
  <c r="I31" i="5"/>
  <c r="D31" i="5"/>
  <c r="E3" i="7" l="1"/>
  <c r="I24" i="5" l="1"/>
  <c r="H24" i="5"/>
  <c r="G24" i="5"/>
  <c r="F24" i="5"/>
  <c r="E24" i="5"/>
  <c r="D24" i="5"/>
  <c r="H19" i="5"/>
  <c r="E29" i="5"/>
  <c r="F29" i="5"/>
  <c r="G29" i="5"/>
  <c r="H29" i="5"/>
  <c r="I29" i="5"/>
  <c r="D29" i="5"/>
  <c r="O9" i="5"/>
  <c r="N9" i="5"/>
  <c r="P9" i="5"/>
  <c r="Q9" i="5"/>
  <c r="R9" i="5"/>
  <c r="S9" i="5"/>
  <c r="E23" i="5"/>
  <c r="F23" i="5"/>
  <c r="G23" i="5"/>
  <c r="H23" i="5"/>
  <c r="I23" i="5"/>
  <c r="D23" i="5"/>
  <c r="D20" i="5" l="1"/>
  <c r="E19" i="5"/>
</calcChain>
</file>

<file path=xl/comments1.xml><?xml version="1.0" encoding="utf-8"?>
<comments xmlns="http://schemas.openxmlformats.org/spreadsheetml/2006/main">
  <authors>
    <author>kec4</author>
  </authors>
  <commentList>
    <comment ref="I19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Cell contains driver for spinner -- DO NOT ALTER.</t>
        </r>
      </text>
    </comment>
  </commentList>
</comments>
</file>

<file path=xl/comments2.xml><?xml version="1.0" encoding="utf-8"?>
<comments xmlns="http://schemas.openxmlformats.org/spreadsheetml/2006/main">
  <authors>
    <author>kec4</author>
  </authors>
  <commentList>
    <comment ref="E4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driver for spinner -- do not delete</t>
        </r>
      </text>
    </comment>
  </commentList>
</comments>
</file>

<file path=xl/sharedStrings.xml><?xml version="1.0" encoding="utf-8"?>
<sst xmlns="http://schemas.openxmlformats.org/spreadsheetml/2006/main" count="65" uniqueCount="39">
  <si>
    <t>A</t>
  </si>
  <si>
    <t>B</t>
  </si>
  <si>
    <t>C</t>
  </si>
  <si>
    <t>D</t>
  </si>
  <si>
    <t>E</t>
  </si>
  <si>
    <t>F</t>
  </si>
  <si>
    <t>Service Part</t>
  </si>
  <si>
    <t>Purchase Cost per Unit:</t>
  </si>
  <si>
    <t>Marginal Analysis Area</t>
  </si>
  <si>
    <t>The next unit increase yields</t>
  </si>
  <si>
    <t>Change in Customer Service Level:</t>
  </si>
  <si>
    <t>Change in CSL Per Dollar Spent:</t>
  </si>
  <si>
    <t xml:space="preserve">Next base stock level to increase: </t>
  </si>
  <si>
    <t>CSL Target:</t>
  </si>
  <si>
    <t>Average Demand over LT at Store (units/day):</t>
  </si>
  <si>
    <t>Fill Rate for Part at Store:</t>
  </si>
  <si>
    <t>Supplier Lead Time to Store:</t>
  </si>
  <si>
    <t>Demand Rate at Store* (units/day):</t>
  </si>
  <si>
    <t>*Part demand processes are independent and Poisson</t>
  </si>
  <si>
    <t>Proportion of Store Demand for Part Type (i.e.,"Weight"):</t>
  </si>
  <si>
    <t>Total Store Inventory Cost:</t>
  </si>
  <si>
    <t>Store Inventory Cost by Part Type:</t>
  </si>
  <si>
    <t>Current Customer Service Level at Store:</t>
  </si>
  <si>
    <t>Store Customer Service Level Evaluation</t>
  </si>
  <si>
    <t>Store Input Parameters</t>
  </si>
  <si>
    <t>Average Daily Demand Rate (Units/Day)</t>
  </si>
  <si>
    <t>Store</t>
  </si>
  <si>
    <t>Supplier Lead Time (Days)</t>
  </si>
  <si>
    <t>Optimal Base Stock Levels</t>
  </si>
  <si>
    <t>CSL Target</t>
  </si>
  <si>
    <t>CSL Achieved</t>
  </si>
  <si>
    <t>Total Inventory Investment</t>
  </si>
  <si>
    <t>Select Store to Evaluate:</t>
  </si>
  <si>
    <t>Base Stock Level at Store:</t>
  </si>
  <si>
    <t>Fill Rate by Part Type</t>
  </si>
  <si>
    <t>Inventory Cost by Part Type</t>
  </si>
  <si>
    <t>Service Part Parameters</t>
  </si>
  <si>
    <t>Customer Service Level and Inventory Cost</t>
  </si>
  <si>
    <t>CSL Target for All Stores: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</si>
</sst>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6" formatCode="&quot;$&quot;#,##0_);[Red]\(&quot;$&quot;#,##0\)"/>
    <numFmt numFmtId="164" formatCode="0.0%"/>
    <numFmt numFmtId="165" formatCode="0.000"/>
    <numFmt numFmtId="166" formatCode="0.0000%"/>
    <numFmt numFmtId="167" formatCode="&quot;$&quot;#,##0"/>
  </numFmts>
  <fonts count="17" x14ac:knownFonts="1">
    <font>
      <sz val="10"/>
      <name val="Arial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sz val="14"/>
      <color indexed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u/>
      <sz val="1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6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b/>
      <u/>
      <sz val="16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0" fontId="3" fillId="0" borderId="0"/>
  </cellStyleXfs>
  <cellXfs count="101">
    <xf numFmtId="0" fontId="0" fillId="0" borderId="0" xfId="0"/>
    <xf numFmtId="0" fontId="4" fillId="0" borderId="0" xfId="0" applyFont="1"/>
    <xf numFmtId="0" fontId="5" fillId="0" borderId="0" xfId="0" applyFont="1" applyAlignment="1">
      <alignment horizontal="right"/>
    </xf>
    <xf numFmtId="0" fontId="5" fillId="0" borderId="0" xfId="0" applyFont="1"/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5" fillId="0" borderId="0" xfId="0" applyFont="1" applyBorder="1"/>
    <xf numFmtId="0" fontId="5" fillId="0" borderId="0" xfId="0" applyFont="1" applyFill="1" applyBorder="1" applyAlignment="1">
      <alignment horizontal="right"/>
    </xf>
    <xf numFmtId="0" fontId="6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wrapText="1"/>
    </xf>
    <xf numFmtId="0" fontId="2" fillId="0" borderId="1" xfId="0" applyFont="1" applyBorder="1" applyAlignment="1">
      <alignment horizontal="right" vertical="center"/>
    </xf>
    <xf numFmtId="164" fontId="2" fillId="2" borderId="1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165" fontId="2" fillId="2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right" wrapText="1"/>
    </xf>
    <xf numFmtId="0" fontId="3" fillId="0" borderId="0" xfId="0" applyFont="1"/>
    <xf numFmtId="6" fontId="2" fillId="2" borderId="1" xfId="1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right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right" vertical="center" wrapText="1"/>
    </xf>
    <xf numFmtId="0" fontId="2" fillId="3" borderId="1" xfId="0" applyFont="1" applyFill="1" applyBorder="1" applyAlignment="1">
      <alignment horizontal="center" vertical="center"/>
    </xf>
    <xf numFmtId="6" fontId="2" fillId="3" borderId="1" xfId="1" applyNumberFormat="1" applyFont="1" applyFill="1" applyBorder="1" applyAlignment="1">
      <alignment horizontal="center" vertical="center"/>
    </xf>
    <xf numFmtId="10" fontId="2" fillId="4" borderId="1" xfId="0" applyNumberFormat="1" applyFont="1" applyFill="1" applyBorder="1" applyAlignment="1">
      <alignment horizontal="center" vertical="center"/>
    </xf>
    <xf numFmtId="6" fontId="2" fillId="4" borderId="1" xfId="0" applyNumberFormat="1" applyFont="1" applyFill="1" applyBorder="1" applyAlignment="1">
      <alignment horizontal="center" vertical="center"/>
    </xf>
    <xf numFmtId="9" fontId="2" fillId="2" borderId="1" xfId="0" applyNumberFormat="1" applyFont="1" applyFill="1" applyBorder="1" applyAlignment="1">
      <alignment horizontal="center" vertical="center"/>
    </xf>
    <xf numFmtId="0" fontId="6" fillId="5" borderId="1" xfId="1" applyFont="1" applyFill="1" applyBorder="1" applyAlignment="1">
      <alignment horizontal="right" wrapText="1"/>
    </xf>
    <xf numFmtId="0" fontId="2" fillId="0" borderId="1" xfId="0" applyFont="1" applyBorder="1" applyAlignment="1">
      <alignment horizontal="right" vertical="center" wrapText="1"/>
    </xf>
    <xf numFmtId="0" fontId="2" fillId="0" borderId="1" xfId="0" applyFont="1" applyBorder="1" applyAlignment="1">
      <alignment horizontal="right" wrapText="1"/>
    </xf>
    <xf numFmtId="0" fontId="13" fillId="6" borderId="1" xfId="0" applyFont="1" applyFill="1" applyBorder="1" applyAlignment="1">
      <alignment horizontal="center" vertical="center"/>
    </xf>
    <xf numFmtId="166" fontId="13" fillId="4" borderId="1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3" fillId="0" borderId="0" xfId="2" applyFill="1" applyBorder="1"/>
    <xf numFmtId="0" fontId="1" fillId="0" borderId="0" xfId="2" applyFont="1" applyFill="1" applyBorder="1" applyAlignment="1">
      <alignment horizontal="center" vertical="center"/>
    </xf>
    <xf numFmtId="0" fontId="3" fillId="0" borderId="0" xfId="2"/>
    <xf numFmtId="0" fontId="5" fillId="0" borderId="0" xfId="2" applyFont="1" applyFill="1" applyBorder="1"/>
    <xf numFmtId="0" fontId="6" fillId="0" borderId="1" xfId="2" applyFont="1" applyBorder="1" applyAlignment="1">
      <alignment horizontal="center" wrapText="1"/>
    </xf>
    <xf numFmtId="0" fontId="2" fillId="0" borderId="2" xfId="2" applyFont="1" applyFill="1" applyBorder="1" applyAlignment="1">
      <alignment horizontal="center"/>
    </xf>
    <xf numFmtId="0" fontId="2" fillId="0" borderId="1" xfId="2" applyFont="1" applyFill="1" applyBorder="1" applyAlignment="1">
      <alignment horizontal="center"/>
    </xf>
    <xf numFmtId="0" fontId="1" fillId="0" borderId="3" xfId="2" applyFont="1" applyFill="1" applyBorder="1" applyAlignment="1">
      <alignment horizontal="center" vertical="center" wrapText="1"/>
    </xf>
    <xf numFmtId="0" fontId="2" fillId="3" borderId="1" xfId="2" applyFont="1" applyFill="1" applyBorder="1" applyAlignment="1">
      <alignment horizontal="center" vertical="center"/>
    </xf>
    <xf numFmtId="0" fontId="2" fillId="8" borderId="1" xfId="2" applyFont="1" applyFill="1" applyBorder="1" applyAlignment="1">
      <alignment horizontal="center" vertical="center"/>
    </xf>
    <xf numFmtId="0" fontId="3" fillId="0" borderId="0" xfId="2" applyAlignment="1">
      <alignment wrapText="1"/>
    </xf>
    <xf numFmtId="9" fontId="2" fillId="0" borderId="0" xfId="2" applyNumberFormat="1" applyFont="1" applyFill="1" applyBorder="1" applyAlignment="1">
      <alignment horizontal="center" vertical="center"/>
    </xf>
    <xf numFmtId="167" fontId="2" fillId="0" borderId="0" xfId="2" applyNumberFormat="1" applyFont="1" applyFill="1" applyBorder="1" applyAlignment="1">
      <alignment horizontal="center" vertical="center"/>
    </xf>
    <xf numFmtId="0" fontId="2" fillId="0" borderId="0" xfId="2" applyFont="1" applyFill="1" applyBorder="1" applyAlignment="1">
      <alignment horizontal="center" vertical="center"/>
    </xf>
    <xf numFmtId="0" fontId="1" fillId="0" borderId="0" xfId="2" applyFont="1" applyAlignment="1">
      <alignment horizontal="center"/>
    </xf>
    <xf numFmtId="0" fontId="2" fillId="0" borderId="1" xfId="2" applyFont="1" applyBorder="1" applyAlignment="1">
      <alignment horizontal="center" wrapText="1"/>
    </xf>
    <xf numFmtId="0" fontId="3" fillId="0" borderId="0" xfId="2" applyFill="1"/>
    <xf numFmtId="0" fontId="2" fillId="0" borderId="3" xfId="0" applyFont="1" applyFill="1" applyBorder="1" applyAlignment="1">
      <alignment horizontal="right" vertical="center" wrapText="1"/>
    </xf>
    <xf numFmtId="0" fontId="6" fillId="5" borderId="1" xfId="0" applyFont="1" applyFill="1" applyBorder="1" applyAlignment="1">
      <alignment horizontal="right" vertical="center"/>
    </xf>
    <xf numFmtId="10" fontId="2" fillId="2" borderId="1" xfId="0" applyNumberFormat="1" applyFont="1" applyFill="1" applyBorder="1" applyAlignment="1">
      <alignment horizontal="center" vertical="center"/>
    </xf>
    <xf numFmtId="166" fontId="2" fillId="10" borderId="1" xfId="0" applyNumberFormat="1" applyFont="1" applyFill="1" applyBorder="1" applyAlignment="1">
      <alignment horizontal="center" vertical="center"/>
    </xf>
    <xf numFmtId="0" fontId="5" fillId="11" borderId="5" xfId="0" applyFont="1" applyFill="1" applyBorder="1"/>
    <xf numFmtId="0" fontId="5" fillId="11" borderId="0" xfId="0" applyFont="1" applyFill="1" applyBorder="1"/>
    <xf numFmtId="0" fontId="0" fillId="11" borderId="9" xfId="0" applyFill="1" applyBorder="1"/>
    <xf numFmtId="0" fontId="14" fillId="11" borderId="0" xfId="0" applyFont="1" applyFill="1" applyBorder="1" applyAlignment="1">
      <alignment horizontal="right" vertical="top"/>
    </xf>
    <xf numFmtId="0" fontId="5" fillId="11" borderId="8" xfId="0" applyFont="1" applyFill="1" applyBorder="1"/>
    <xf numFmtId="0" fontId="14" fillId="11" borderId="10" xfId="0" applyFont="1" applyFill="1" applyBorder="1" applyAlignment="1">
      <alignment horizontal="right" vertical="top"/>
    </xf>
    <xf numFmtId="0" fontId="0" fillId="11" borderId="10" xfId="0" applyFill="1" applyBorder="1"/>
    <xf numFmtId="0" fontId="0" fillId="11" borderId="11" xfId="0" applyFill="1" applyBorder="1"/>
    <xf numFmtId="0" fontId="2" fillId="11" borderId="8" xfId="0" applyFont="1" applyFill="1" applyBorder="1" applyAlignment="1">
      <alignment wrapText="1"/>
    </xf>
    <xf numFmtId="0" fontId="0" fillId="11" borderId="5" xfId="0" applyFill="1" applyBorder="1"/>
    <xf numFmtId="0" fontId="5" fillId="11" borderId="9" xfId="0" applyFont="1" applyFill="1" applyBorder="1"/>
    <xf numFmtId="0" fontId="5" fillId="11" borderId="10" xfId="0" applyFont="1" applyFill="1" applyBorder="1"/>
    <xf numFmtId="0" fontId="5" fillId="11" borderId="11" xfId="0" applyFont="1" applyFill="1" applyBorder="1"/>
    <xf numFmtId="0" fontId="0" fillId="11" borderId="8" xfId="0" applyFill="1" applyBorder="1"/>
    <xf numFmtId="0" fontId="0" fillId="11" borderId="0" xfId="0" applyFill="1" applyBorder="1" applyAlignment="1">
      <alignment horizontal="left"/>
    </xf>
    <xf numFmtId="0" fontId="0" fillId="11" borderId="0" xfId="0" applyFill="1" applyBorder="1"/>
    <xf numFmtId="0" fontId="5" fillId="11" borderId="0" xfId="0" applyFont="1" applyFill="1" applyBorder="1" applyAlignment="1">
      <alignment vertical="center"/>
    </xf>
    <xf numFmtId="0" fontId="2" fillId="11" borderId="0" xfId="0" applyFont="1" applyFill="1" applyBorder="1" applyAlignment="1">
      <alignment horizontal="right" vertical="center"/>
    </xf>
    <xf numFmtId="0" fontId="5" fillId="11" borderId="0" xfId="0" applyFont="1" applyFill="1"/>
    <xf numFmtId="0" fontId="2" fillId="11" borderId="0" xfId="1" applyFont="1" applyFill="1" applyBorder="1" applyAlignment="1">
      <alignment horizontal="right" wrapText="1"/>
    </xf>
    <xf numFmtId="0" fontId="2" fillId="11" borderId="0" xfId="1" applyFont="1" applyFill="1" applyBorder="1" applyAlignment="1">
      <alignment horizontal="right" vertical="center" wrapText="1"/>
    </xf>
    <xf numFmtId="6" fontId="7" fillId="11" borderId="0" xfId="0" applyNumberFormat="1" applyFont="1" applyFill="1" applyBorder="1" applyAlignment="1">
      <alignment horizontal="left"/>
    </xf>
    <xf numFmtId="6" fontId="2" fillId="11" borderId="0" xfId="0" applyNumberFormat="1" applyFont="1" applyFill="1" applyBorder="1" applyAlignment="1">
      <alignment horizontal="left"/>
    </xf>
    <xf numFmtId="0" fontId="7" fillId="11" borderId="0" xfId="0" applyFont="1" applyFill="1" applyBorder="1" applyAlignment="1">
      <alignment horizontal="right" vertical="center"/>
    </xf>
    <xf numFmtId="0" fontId="7" fillId="9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12" borderId="0" xfId="2" applyFont="1" applyFill="1" applyAlignment="1">
      <alignment horizontal="center"/>
    </xf>
    <xf numFmtId="0" fontId="15" fillId="0" borderId="0" xfId="2" applyFont="1" applyAlignment="1">
      <alignment horizontal="right" vertical="center"/>
    </xf>
    <xf numFmtId="9" fontId="15" fillId="2" borderId="1" xfId="2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6" fontId="16" fillId="11" borderId="4" xfId="0" applyNumberFormat="1" applyFont="1" applyFill="1" applyBorder="1" applyAlignment="1">
      <alignment horizontal="center"/>
    </xf>
    <xf numFmtId="6" fontId="16" fillId="11" borderId="6" xfId="0" applyNumberFormat="1" applyFont="1" applyFill="1" applyBorder="1" applyAlignment="1">
      <alignment horizontal="center"/>
    </xf>
    <xf numFmtId="6" fontId="16" fillId="11" borderId="7" xfId="0" applyNumberFormat="1" applyFont="1" applyFill="1" applyBorder="1" applyAlignment="1">
      <alignment horizontal="center"/>
    </xf>
    <xf numFmtId="0" fontId="2" fillId="7" borderId="3" xfId="2" applyFont="1" applyFill="1" applyBorder="1" applyAlignment="1">
      <alignment horizontal="center" wrapText="1"/>
    </xf>
    <xf numFmtId="0" fontId="2" fillId="7" borderId="12" xfId="2" applyFont="1" applyFill="1" applyBorder="1" applyAlignment="1">
      <alignment horizontal="center" wrapText="1"/>
    </xf>
    <xf numFmtId="0" fontId="2" fillId="7" borderId="13" xfId="2" applyFont="1" applyFill="1" applyBorder="1" applyAlignment="1">
      <alignment horizontal="center" wrapText="1"/>
    </xf>
    <xf numFmtId="0" fontId="2" fillId="0" borderId="3" xfId="2" applyFont="1" applyFill="1" applyBorder="1" applyAlignment="1">
      <alignment horizontal="center"/>
    </xf>
    <xf numFmtId="0" fontId="2" fillId="0" borderId="12" xfId="2" applyFont="1" applyFill="1" applyBorder="1" applyAlignment="1">
      <alignment horizontal="center"/>
    </xf>
    <xf numFmtId="0" fontId="2" fillId="0" borderId="13" xfId="2" applyFont="1" applyFill="1" applyBorder="1" applyAlignment="1">
      <alignment horizontal="center"/>
    </xf>
    <xf numFmtId="0" fontId="2" fillId="5" borderId="3" xfId="2" applyFont="1" applyFill="1" applyBorder="1" applyAlignment="1">
      <alignment horizontal="center" wrapText="1"/>
    </xf>
    <xf numFmtId="0" fontId="2" fillId="5" borderId="12" xfId="2" applyFont="1" applyFill="1" applyBorder="1" applyAlignment="1">
      <alignment horizontal="center" wrapText="1"/>
    </xf>
    <xf numFmtId="0" fontId="2" fillId="5" borderId="13" xfId="2" applyFont="1" applyFill="1" applyBorder="1" applyAlignment="1">
      <alignment horizontal="center" wrapText="1"/>
    </xf>
  </cellXfs>
  <cellStyles count="3">
    <cellStyle name="Normal" xfId="0" builtinId="0"/>
    <cellStyle name="Normal 2" xfId="2"/>
    <cellStyle name="Normal_PartsData" xfId="1"/>
  </cellStyles>
  <dxfs count="4">
    <dxf>
      <font>
        <b/>
        <i/>
      </font>
      <fill>
        <patternFill>
          <bgColor rgb="FFFF0000"/>
        </patternFill>
      </fill>
    </dxf>
    <dxf>
      <fill>
        <patternFill>
          <bgColor rgb="FF66FF33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colors>
    <mruColors>
      <color rgb="FF66FF33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Fill Rates by Part</a:t>
            </a:r>
          </a:p>
        </c:rich>
      </c:tx>
      <c:layout>
        <c:manualLayout>
          <c:xMode val="edge"/>
          <c:yMode val="edge"/>
          <c:x val="0.3386363636363639"/>
          <c:y val="3.18906960629360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863636363636378"/>
          <c:y val="0.18223254893106339"/>
          <c:w val="0.82954545454545514"/>
          <c:h val="0.703873220246231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'Store CSL Evaluation'!$C$26</c:f>
              <c:strCache>
                <c:ptCount val="1"/>
                <c:pt idx="0">
                  <c:v>Fill Rate for Part at Store: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'Store CSL Evaluation'!$D$23:$I$23</c:f>
              <c:strCache>
                <c:ptCount val="6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D</c:v>
                </c:pt>
                <c:pt idx="4">
                  <c:v>E</c:v>
                </c:pt>
                <c:pt idx="5">
                  <c:v>F</c:v>
                </c:pt>
              </c:strCache>
            </c:strRef>
          </c:cat>
          <c:val>
            <c:numRef>
              <c:f>'Store CSL Evaluation'!$D$26:$I$26</c:f>
              <c:numCache>
                <c:formatCode>0.0%</c:formatCode>
                <c:ptCount val="6"/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8341120"/>
        <c:axId val="148343040"/>
      </c:barChart>
      <c:catAx>
        <c:axId val="1483411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Part</a:t>
                </a:r>
              </a:p>
            </c:rich>
          </c:tx>
          <c:layout>
            <c:manualLayout>
              <c:xMode val="edge"/>
              <c:yMode val="edge"/>
              <c:x val="0.52272727272727271"/>
              <c:y val="0.9430534407182524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3430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48343040"/>
        <c:scaling>
          <c:orientation val="minMax"/>
          <c:max val="1"/>
          <c:min val="0"/>
        </c:scaling>
        <c:delete val="0"/>
        <c:axPos val="l"/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83411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trlProps/ctrlProp1.xml><?xml version="1.0" encoding="utf-8"?>
<formControlPr xmlns="http://schemas.microsoft.com/office/spreadsheetml/2009/9/main" objectType="Spin" dx="16" fmlaLink="$I$19" max="99" page="10" val="95"/>
</file>

<file path=xl/ctrlProps/ctrlProp2.xml><?xml version="1.0" encoding="utf-8"?>
<formControlPr xmlns="http://schemas.microsoft.com/office/spreadsheetml/2009/9/main" objectType="Scroll" dx="16" fmlaLink="$D$12" horiz="1" max="20" page="10" val="0"/>
</file>

<file path=xl/ctrlProps/ctrlProp3.xml><?xml version="1.0" encoding="utf-8"?>
<formControlPr xmlns="http://schemas.microsoft.com/office/spreadsheetml/2009/9/main" objectType="Scroll" dx="16" fmlaLink="$E$12" horiz="1" max="20" page="10" val="0"/>
</file>

<file path=xl/ctrlProps/ctrlProp4.xml><?xml version="1.0" encoding="utf-8"?>
<formControlPr xmlns="http://schemas.microsoft.com/office/spreadsheetml/2009/9/main" objectType="Scroll" dx="16" fmlaLink="$F$12" horiz="1" max="20" page="10" val="0"/>
</file>

<file path=xl/ctrlProps/ctrlProp5.xml><?xml version="1.0" encoding="utf-8"?>
<formControlPr xmlns="http://schemas.microsoft.com/office/spreadsheetml/2009/9/main" objectType="Scroll" dx="16" fmlaLink="$G$12" horiz="1" max="20" page="10" val="0"/>
</file>

<file path=xl/ctrlProps/ctrlProp6.xml><?xml version="1.0" encoding="utf-8"?>
<formControlPr xmlns="http://schemas.microsoft.com/office/spreadsheetml/2009/9/main" objectType="Scroll" dx="16" fmlaLink="$H$12" horiz="1" max="20" page="10" val="0"/>
</file>

<file path=xl/ctrlProps/ctrlProp7.xml><?xml version="1.0" encoding="utf-8"?>
<formControlPr xmlns="http://schemas.microsoft.com/office/spreadsheetml/2009/9/main" objectType="Scroll" dx="16" fmlaLink="$I$12" horiz="1" max="20" page="10" val="0"/>
</file>

<file path=xl/ctrlProps/ctrlProp8.xml><?xml version="1.0" encoding="utf-8"?>
<formControlPr xmlns="http://schemas.microsoft.com/office/spreadsheetml/2009/9/main" objectType="Spin" dx="16" fmlaLink="$E$4" max="99" page="10" val="95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71437</xdr:colOff>
      <xdr:row>15</xdr:row>
      <xdr:rowOff>119063</xdr:rowOff>
    </xdr:from>
    <xdr:to>
      <xdr:col>17</xdr:col>
      <xdr:colOff>416718</xdr:colOff>
      <xdr:row>30</xdr:row>
      <xdr:rowOff>290512</xdr:rowOff>
    </xdr:to>
    <xdr:graphicFrame macro="">
      <xdr:nvGraphicFramePr>
        <xdr:cNvPr id="3101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18</xdr:row>
          <xdr:rowOff>0</xdr:rowOff>
        </xdr:from>
        <xdr:to>
          <xdr:col>8</xdr:col>
          <xdr:colOff>200025</xdr:colOff>
          <xdr:row>19</xdr:row>
          <xdr:rowOff>0</xdr:rowOff>
        </xdr:to>
        <xdr:sp macro="" textlink="">
          <xdr:nvSpPr>
            <xdr:cNvPr id="3099" name="Spinner 27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12</xdr:row>
          <xdr:rowOff>9525</xdr:rowOff>
        </xdr:from>
        <xdr:to>
          <xdr:col>4</xdr:col>
          <xdr:colOff>85725</xdr:colOff>
          <xdr:row>12</xdr:row>
          <xdr:rowOff>171450</xdr:rowOff>
        </xdr:to>
        <xdr:sp macro="" textlink="">
          <xdr:nvSpPr>
            <xdr:cNvPr id="3102" name="Scroll Bar 30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9525</xdr:rowOff>
        </xdr:from>
        <xdr:to>
          <xdr:col>5</xdr:col>
          <xdr:colOff>76200</xdr:colOff>
          <xdr:row>12</xdr:row>
          <xdr:rowOff>171450</xdr:rowOff>
        </xdr:to>
        <xdr:sp macro="" textlink="">
          <xdr:nvSpPr>
            <xdr:cNvPr id="3103" name="Scroll Bar 31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9525</xdr:rowOff>
        </xdr:from>
        <xdr:to>
          <xdr:col>6</xdr:col>
          <xdr:colOff>85725</xdr:colOff>
          <xdr:row>12</xdr:row>
          <xdr:rowOff>171450</xdr:rowOff>
        </xdr:to>
        <xdr:sp macro="" textlink="">
          <xdr:nvSpPr>
            <xdr:cNvPr id="3104" name="Scroll Bar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12</xdr:row>
          <xdr:rowOff>9525</xdr:rowOff>
        </xdr:from>
        <xdr:to>
          <xdr:col>7</xdr:col>
          <xdr:colOff>76200</xdr:colOff>
          <xdr:row>12</xdr:row>
          <xdr:rowOff>171450</xdr:rowOff>
        </xdr:to>
        <xdr:sp macro="" textlink="">
          <xdr:nvSpPr>
            <xdr:cNvPr id="3105" name="Scroll Bar 33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12</xdr:row>
          <xdr:rowOff>9525</xdr:rowOff>
        </xdr:from>
        <xdr:to>
          <xdr:col>8</xdr:col>
          <xdr:colOff>85725</xdr:colOff>
          <xdr:row>12</xdr:row>
          <xdr:rowOff>171450</xdr:rowOff>
        </xdr:to>
        <xdr:sp macro="" textlink="">
          <xdr:nvSpPr>
            <xdr:cNvPr id="3106" name="Scroll Bar 34" hidden="1">
              <a:extLst>
                <a:ext uri="{63B3BB69-23CF-44E3-9099-C40C66FF867C}">
                  <a14:compatExt spid="_x0000_s31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9525</xdr:rowOff>
        </xdr:from>
        <xdr:to>
          <xdr:col>9</xdr:col>
          <xdr:colOff>76200</xdr:colOff>
          <xdr:row>12</xdr:row>
          <xdr:rowOff>171450</xdr:rowOff>
        </xdr:to>
        <xdr:sp macro="" textlink="">
          <xdr:nvSpPr>
            <xdr:cNvPr id="3107" name="Scroll Bar 35" hidden="1">
              <a:extLst>
                <a:ext uri="{63B3BB69-23CF-44E3-9099-C40C66FF867C}">
                  <a14:compatExt spid="_x0000_s31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142875</xdr:rowOff>
        </xdr:from>
        <xdr:to>
          <xdr:col>5</xdr:col>
          <xdr:colOff>257175</xdr:colOff>
          <xdr:row>3</xdr:row>
          <xdr:rowOff>19050</xdr:rowOff>
        </xdr:to>
        <xdr:sp macro="" textlink="">
          <xdr:nvSpPr>
            <xdr:cNvPr id="4101" name="Spinner 5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Z100"/>
  <sheetViews>
    <sheetView tabSelected="1" zoomScale="80" zoomScaleNormal="80" workbookViewId="0">
      <selection activeCell="D6" sqref="D6"/>
    </sheetView>
  </sheetViews>
  <sheetFormatPr defaultRowHeight="15" x14ac:dyDescent="0.2"/>
  <cols>
    <col min="1" max="1" width="4.28515625" style="3" customWidth="1"/>
    <col min="2" max="2" width="4.7109375" style="3" customWidth="1"/>
    <col min="3" max="3" width="50" style="3" customWidth="1"/>
    <col min="4" max="9" width="9.7109375" style="3" customWidth="1"/>
    <col min="10" max="10" width="7" style="3" customWidth="1"/>
    <col min="11" max="12" width="2.85546875" style="3" customWidth="1"/>
    <col min="13" max="13" width="23.85546875" style="3" customWidth="1"/>
    <col min="14" max="19" width="9.7109375" style="3" customWidth="1"/>
    <col min="20" max="20" width="3.5703125" style="3" customWidth="1"/>
    <col min="21" max="21" width="3.7109375" style="3" customWidth="1"/>
    <col min="22" max="26" width="9.7109375" style="3" customWidth="1"/>
    <col min="27" max="27" width="3.7109375" style="3" customWidth="1"/>
    <col min="28" max="32" width="9.7109375" style="3" customWidth="1"/>
    <col min="33" max="33" width="3.7109375" style="3" customWidth="1"/>
    <col min="34" max="38" width="9.7109375" style="3" customWidth="1"/>
    <col min="39" max="39" width="3.85546875" style="3" customWidth="1"/>
    <col min="40" max="16384" width="9.140625" style="3"/>
  </cols>
  <sheetData>
    <row r="1" spans="2:26" ht="17.25" customHeight="1" x14ac:dyDescent="0.25">
      <c r="D1" s="1"/>
    </row>
    <row r="2" spans="2:26" ht="23.25" x14ac:dyDescent="0.35">
      <c r="B2" s="84" t="s">
        <v>23</v>
      </c>
      <c r="C2" s="84"/>
      <c r="D2" s="84"/>
      <c r="E2" s="84"/>
      <c r="F2" s="84"/>
      <c r="G2" s="84"/>
      <c r="H2" s="84"/>
      <c r="I2" s="84"/>
      <c r="J2" s="84"/>
    </row>
    <row r="3" spans="2:26" ht="23.25" x14ac:dyDescent="0.35">
      <c r="B3" s="31"/>
      <c r="C3" s="31"/>
      <c r="D3" s="31"/>
      <c r="E3" s="31"/>
      <c r="F3" s="31"/>
      <c r="G3" s="31"/>
      <c r="H3" s="31"/>
      <c r="I3" s="31"/>
      <c r="J3" s="31"/>
    </row>
    <row r="4" spans="2:26" ht="23.25" customHeight="1" x14ac:dyDescent="0.3">
      <c r="B4" s="89" t="s">
        <v>36</v>
      </c>
      <c r="C4" s="90"/>
      <c r="D4" s="90"/>
      <c r="E4" s="90"/>
      <c r="F4" s="90"/>
      <c r="G4" s="90"/>
      <c r="H4" s="90"/>
      <c r="I4" s="90"/>
      <c r="J4" s="91"/>
      <c r="L4" s="89" t="s">
        <v>8</v>
      </c>
      <c r="M4" s="90"/>
      <c r="N4" s="90"/>
      <c r="O4" s="90"/>
      <c r="P4" s="90"/>
      <c r="Q4" s="90"/>
      <c r="R4" s="90"/>
      <c r="S4" s="90"/>
      <c r="T4" s="91"/>
    </row>
    <row r="5" spans="2:26" ht="10.5" customHeight="1" x14ac:dyDescent="0.25">
      <c r="B5" s="53"/>
      <c r="C5" s="54"/>
      <c r="D5" s="54"/>
      <c r="E5" s="54"/>
      <c r="F5" s="54"/>
      <c r="G5" s="54"/>
      <c r="H5" s="54"/>
      <c r="I5" s="54"/>
      <c r="J5" s="57"/>
      <c r="L5" s="53"/>
      <c r="M5" s="72"/>
      <c r="N5" s="74"/>
      <c r="O5" s="54"/>
      <c r="P5" s="54"/>
      <c r="Q5" s="54"/>
      <c r="R5" s="54"/>
      <c r="S5" s="54"/>
      <c r="T5" s="57"/>
    </row>
    <row r="6" spans="2:26" ht="32.25" customHeight="1" x14ac:dyDescent="0.2">
      <c r="B6" s="53"/>
      <c r="C6" s="76" t="s">
        <v>32</v>
      </c>
      <c r="D6" s="77">
        <v>1</v>
      </c>
      <c r="E6" s="54"/>
      <c r="F6" s="54"/>
      <c r="G6" s="54"/>
      <c r="H6" s="54"/>
      <c r="I6" s="54"/>
      <c r="J6" s="57"/>
      <c r="L6" s="53"/>
      <c r="M6" s="73" t="s">
        <v>12</v>
      </c>
      <c r="N6" s="30"/>
      <c r="O6" s="54"/>
      <c r="P6" s="54"/>
      <c r="Q6" s="54"/>
      <c r="R6" s="54"/>
      <c r="S6" s="54"/>
      <c r="T6" s="57"/>
    </row>
    <row r="7" spans="2:26" ht="6" customHeight="1" x14ac:dyDescent="0.25">
      <c r="B7" s="53"/>
      <c r="C7" s="54"/>
      <c r="D7" s="54"/>
      <c r="E7" s="54"/>
      <c r="F7" s="54"/>
      <c r="G7" s="54"/>
      <c r="H7" s="54"/>
      <c r="I7" s="54"/>
      <c r="J7" s="57"/>
      <c r="L7" s="53"/>
      <c r="M7" s="72"/>
      <c r="N7" s="75"/>
      <c r="O7" s="54"/>
      <c r="P7" s="54"/>
      <c r="Q7" s="54"/>
      <c r="R7" s="54"/>
      <c r="S7" s="54"/>
      <c r="T7" s="57"/>
    </row>
    <row r="8" spans="2:26" ht="15.75" x14ac:dyDescent="0.25">
      <c r="B8" s="53"/>
      <c r="C8" s="54"/>
      <c r="D8" s="85" t="s">
        <v>6</v>
      </c>
      <c r="E8" s="86"/>
      <c r="F8" s="86"/>
      <c r="G8" s="86"/>
      <c r="H8" s="86"/>
      <c r="I8" s="87"/>
      <c r="J8" s="61"/>
      <c r="K8" s="9"/>
      <c r="L8" s="53"/>
      <c r="M8" s="72"/>
      <c r="N8" s="88" t="s">
        <v>6</v>
      </c>
      <c r="O8" s="88"/>
      <c r="P8" s="88"/>
      <c r="Q8" s="88"/>
      <c r="R8" s="88"/>
      <c r="S8" s="88"/>
      <c r="T8" s="57"/>
    </row>
    <row r="9" spans="2:26" ht="30" customHeight="1" x14ac:dyDescent="0.2">
      <c r="B9" s="53"/>
      <c r="C9" s="50" t="s">
        <v>24</v>
      </c>
      <c r="D9" s="78" t="s">
        <v>0</v>
      </c>
      <c r="E9" s="79" t="s">
        <v>1</v>
      </c>
      <c r="F9" s="79" t="s">
        <v>2</v>
      </c>
      <c r="G9" s="79" t="s">
        <v>3</v>
      </c>
      <c r="H9" s="79" t="s">
        <v>4</v>
      </c>
      <c r="I9" s="79" t="s">
        <v>5</v>
      </c>
      <c r="J9" s="57"/>
      <c r="K9" s="5"/>
      <c r="L9" s="53"/>
      <c r="M9" s="26" t="s">
        <v>9</v>
      </c>
      <c r="N9" s="80" t="str">
        <f t="shared" ref="N9:S9" si="0">D9</f>
        <v>A</v>
      </c>
      <c r="O9" s="80" t="str">
        <f t="shared" si="0"/>
        <v>B</v>
      </c>
      <c r="P9" s="80" t="str">
        <f t="shared" si="0"/>
        <v>C</v>
      </c>
      <c r="Q9" s="80" t="str">
        <f t="shared" si="0"/>
        <v>D</v>
      </c>
      <c r="R9" s="80" t="str">
        <f t="shared" si="0"/>
        <v>E</v>
      </c>
      <c r="S9" s="80" t="str">
        <f t="shared" si="0"/>
        <v>F</v>
      </c>
      <c r="T9" s="57"/>
      <c r="X9" s="5"/>
    </row>
    <row r="10" spans="2:26" ht="30" customHeight="1" x14ac:dyDescent="0.25">
      <c r="B10" s="53"/>
      <c r="C10" s="49" t="s">
        <v>17</v>
      </c>
      <c r="D10" s="21">
        <v>3</v>
      </c>
      <c r="E10" s="21">
        <v>2.5</v>
      </c>
      <c r="F10" s="21">
        <v>0.75</v>
      </c>
      <c r="G10" s="21">
        <v>0.75</v>
      </c>
      <c r="H10" s="21">
        <v>0.75</v>
      </c>
      <c r="I10" s="21">
        <v>0.75</v>
      </c>
      <c r="J10" s="57"/>
      <c r="K10" s="5"/>
      <c r="L10" s="53"/>
      <c r="M10" s="28" t="s">
        <v>10</v>
      </c>
      <c r="N10" s="51"/>
      <c r="O10" s="51"/>
      <c r="P10" s="51"/>
      <c r="Q10" s="51"/>
      <c r="R10" s="51"/>
      <c r="S10" s="51"/>
      <c r="T10" s="57"/>
      <c r="X10" s="4"/>
    </row>
    <row r="11" spans="2:26" ht="30" customHeight="1" x14ac:dyDescent="0.25">
      <c r="B11" s="53"/>
      <c r="C11" s="49" t="s">
        <v>16</v>
      </c>
      <c r="D11" s="21">
        <v>2</v>
      </c>
      <c r="E11" s="21">
        <v>2</v>
      </c>
      <c r="F11" s="21">
        <v>2</v>
      </c>
      <c r="G11" s="21">
        <v>2</v>
      </c>
      <c r="H11" s="21">
        <v>2</v>
      </c>
      <c r="I11" s="21">
        <v>2</v>
      </c>
      <c r="J11" s="57"/>
      <c r="K11" s="5"/>
      <c r="L11" s="53"/>
      <c r="M11" s="28" t="s">
        <v>11</v>
      </c>
      <c r="N11" s="52"/>
      <c r="O11" s="52"/>
      <c r="P11" s="52"/>
      <c r="Q11" s="52"/>
      <c r="R11" s="52"/>
      <c r="S11" s="52"/>
      <c r="T11" s="57"/>
      <c r="W11" s="4"/>
      <c r="X11" s="4"/>
      <c r="Y11" s="4"/>
    </row>
    <row r="12" spans="2:26" ht="26.25" customHeight="1" x14ac:dyDescent="0.2">
      <c r="B12" s="53"/>
      <c r="C12" s="49" t="s">
        <v>33</v>
      </c>
      <c r="D12" s="29">
        <v>0</v>
      </c>
      <c r="E12" s="29">
        <v>0</v>
      </c>
      <c r="F12" s="29">
        <v>0</v>
      </c>
      <c r="G12" s="29">
        <v>0</v>
      </c>
      <c r="H12" s="29">
        <v>0</v>
      </c>
      <c r="I12" s="29">
        <v>0</v>
      </c>
      <c r="J12" s="57"/>
      <c r="K12" s="6"/>
      <c r="L12" s="53"/>
      <c r="M12" s="54"/>
      <c r="N12" s="54"/>
      <c r="O12" s="54"/>
      <c r="P12" s="54"/>
      <c r="Q12" s="54"/>
      <c r="R12" s="54"/>
      <c r="S12" s="54"/>
      <c r="T12" s="57"/>
      <c r="X12" s="4"/>
      <c r="Y12" s="4"/>
    </row>
    <row r="13" spans="2:26" x14ac:dyDescent="0.2">
      <c r="B13" s="53"/>
      <c r="C13" s="56" t="s">
        <v>18</v>
      </c>
      <c r="D13" s="54"/>
      <c r="E13" s="54"/>
      <c r="F13" s="54"/>
      <c r="G13" s="54"/>
      <c r="H13" s="54"/>
      <c r="I13" s="54"/>
      <c r="J13" s="57"/>
      <c r="K13" s="6"/>
      <c r="L13" s="53"/>
      <c r="M13" s="54"/>
      <c r="N13" s="54"/>
      <c r="O13" s="54"/>
      <c r="P13" s="54"/>
      <c r="Q13" s="54"/>
      <c r="R13" s="54"/>
      <c r="S13" s="54"/>
      <c r="T13" s="57"/>
      <c r="W13" s="4"/>
      <c r="X13" s="4"/>
      <c r="Y13" s="4"/>
      <c r="Z13" s="5"/>
    </row>
    <row r="14" spans="2:26" customFormat="1" ht="26.25" customHeight="1" x14ac:dyDescent="0.2">
      <c r="B14" s="55"/>
      <c r="C14" s="58"/>
      <c r="D14" s="59"/>
      <c r="E14" s="59"/>
      <c r="F14" s="59"/>
      <c r="G14" s="59"/>
      <c r="H14" s="59"/>
      <c r="I14" s="59"/>
      <c r="J14" s="60"/>
      <c r="L14" s="63"/>
      <c r="M14" s="64"/>
      <c r="N14" s="64"/>
      <c r="O14" s="64"/>
      <c r="P14" s="64"/>
      <c r="Q14" s="64"/>
      <c r="R14" s="64"/>
      <c r="S14" s="64"/>
      <c r="T14" s="65"/>
    </row>
    <row r="15" spans="2:26" customFormat="1" x14ac:dyDescent="0.2">
      <c r="L15" s="5"/>
      <c r="M15" s="5"/>
      <c r="N15" s="5"/>
      <c r="O15" s="5"/>
      <c r="P15" s="5"/>
      <c r="Q15" s="5"/>
    </row>
    <row r="16" spans="2:26" customFormat="1" x14ac:dyDescent="0.2">
      <c r="L16" s="5"/>
      <c r="M16" s="5"/>
      <c r="N16" s="5"/>
      <c r="O16" s="5"/>
      <c r="P16" s="5"/>
      <c r="Q16" s="5"/>
    </row>
    <row r="17" spans="2:26" customFormat="1" ht="26.25" customHeight="1" x14ac:dyDescent="0.3">
      <c r="B17" s="89" t="s">
        <v>37</v>
      </c>
      <c r="C17" s="90"/>
      <c r="D17" s="90"/>
      <c r="E17" s="90"/>
      <c r="F17" s="90"/>
      <c r="G17" s="90"/>
      <c r="H17" s="90"/>
      <c r="I17" s="90"/>
      <c r="J17" s="91"/>
      <c r="L17" s="5"/>
      <c r="M17" s="5"/>
      <c r="N17" s="5"/>
      <c r="O17" s="5"/>
      <c r="P17" s="5"/>
      <c r="Q17" s="5"/>
    </row>
    <row r="18" spans="2:26" ht="9" customHeight="1" x14ac:dyDescent="0.2">
      <c r="B18" s="53"/>
      <c r="C18" s="54"/>
      <c r="D18" s="54"/>
      <c r="E18" s="54"/>
      <c r="F18" s="54"/>
      <c r="G18" s="54"/>
      <c r="H18" s="54"/>
      <c r="I18" s="54"/>
      <c r="J18" s="57"/>
      <c r="K18" s="6"/>
      <c r="L18" s="5"/>
      <c r="M18" s="5"/>
      <c r="N18" s="5"/>
      <c r="O18" s="5"/>
      <c r="P18" s="5"/>
      <c r="Q18" s="5"/>
      <c r="W18" s="4"/>
      <c r="X18" s="4"/>
      <c r="Y18" s="4"/>
      <c r="Z18" s="5"/>
    </row>
    <row r="19" spans="2:26" customFormat="1" ht="22.5" x14ac:dyDescent="0.2">
      <c r="B19" s="62"/>
      <c r="C19" s="18" t="s">
        <v>22</v>
      </c>
      <c r="D19" s="23"/>
      <c r="E19" s="19" t="str">
        <f>IF(D19&gt;=H19,"Target Reached","Target Not Met")</f>
        <v>Target Not Met</v>
      </c>
      <c r="F19" s="69"/>
      <c r="G19" s="70" t="s">
        <v>13</v>
      </c>
      <c r="H19" s="25">
        <f>I19/100</f>
        <v>0.95</v>
      </c>
      <c r="I19" s="67">
        <v>95</v>
      </c>
      <c r="J19" s="66"/>
      <c r="L19" s="5"/>
      <c r="M19" s="5"/>
      <c r="N19" s="5"/>
      <c r="O19" s="5"/>
      <c r="P19" s="5"/>
      <c r="Q19" s="5"/>
    </row>
    <row r="20" spans="2:26" customFormat="1" ht="28.5" customHeight="1" x14ac:dyDescent="0.2">
      <c r="B20" s="62"/>
      <c r="C20" s="20" t="s">
        <v>20</v>
      </c>
      <c r="D20" s="24">
        <f>SUM(D31:I31)</f>
        <v>0</v>
      </c>
      <c r="E20" s="54"/>
      <c r="F20" s="54"/>
      <c r="G20" s="54"/>
      <c r="H20" s="54"/>
      <c r="I20" s="68"/>
      <c r="J20" s="66"/>
    </row>
    <row r="21" spans="2:26" x14ac:dyDescent="0.2">
      <c r="B21" s="53"/>
      <c r="C21" s="54"/>
      <c r="D21" s="54"/>
      <c r="E21" s="54"/>
      <c r="F21" s="54"/>
      <c r="G21" s="54"/>
      <c r="H21" s="54"/>
      <c r="I21" s="54"/>
      <c r="J21" s="57"/>
      <c r="K21" s="6"/>
      <c r="L21" s="6"/>
      <c r="W21" s="4"/>
      <c r="X21" s="4"/>
      <c r="Y21" s="4"/>
      <c r="Z21" s="5"/>
    </row>
    <row r="22" spans="2:26" ht="59.25" customHeight="1" x14ac:dyDescent="0.25">
      <c r="B22" s="53"/>
      <c r="C22" s="54"/>
      <c r="D22" s="85" t="s">
        <v>6</v>
      </c>
      <c r="E22" s="86"/>
      <c r="F22" s="86"/>
      <c r="G22" s="86"/>
      <c r="H22" s="86"/>
      <c r="I22" s="87"/>
      <c r="J22" s="57"/>
      <c r="K22" s="6"/>
      <c r="L22" s="6"/>
      <c r="N22" s="2"/>
    </row>
    <row r="23" spans="2:26" ht="20.25" customHeight="1" x14ac:dyDescent="0.2">
      <c r="B23" s="53"/>
      <c r="C23" s="50" t="s">
        <v>34</v>
      </c>
      <c r="D23" s="80" t="str">
        <f t="shared" ref="D23:I23" si="1">D9</f>
        <v>A</v>
      </c>
      <c r="E23" s="80" t="str">
        <f t="shared" si="1"/>
        <v>B</v>
      </c>
      <c r="F23" s="80" t="str">
        <f t="shared" si="1"/>
        <v>C</v>
      </c>
      <c r="G23" s="80" t="str">
        <f t="shared" si="1"/>
        <v>D</v>
      </c>
      <c r="H23" s="80" t="str">
        <f t="shared" si="1"/>
        <v>E</v>
      </c>
      <c r="I23" s="80" t="str">
        <f t="shared" si="1"/>
        <v>F</v>
      </c>
      <c r="J23" s="57"/>
      <c r="K23" s="6"/>
      <c r="L23" s="6"/>
      <c r="N23" s="2"/>
    </row>
    <row r="24" spans="2:26" ht="32.25" customHeight="1" x14ac:dyDescent="0.2">
      <c r="B24" s="53"/>
      <c r="C24" s="27" t="s">
        <v>14</v>
      </c>
      <c r="D24" s="13">
        <f t="shared" ref="D24:I24" si="2">D10*D11</f>
        <v>6</v>
      </c>
      <c r="E24" s="13">
        <f t="shared" si="2"/>
        <v>5</v>
      </c>
      <c r="F24" s="13">
        <f t="shared" si="2"/>
        <v>1.5</v>
      </c>
      <c r="G24" s="13">
        <f t="shared" si="2"/>
        <v>1.5</v>
      </c>
      <c r="H24" s="13">
        <f t="shared" si="2"/>
        <v>1.5</v>
      </c>
      <c r="I24" s="13">
        <f t="shared" si="2"/>
        <v>1.5</v>
      </c>
      <c r="J24" s="57"/>
      <c r="K24" s="5"/>
      <c r="L24" s="5"/>
      <c r="N24" s="2"/>
    </row>
    <row r="25" spans="2:26" ht="33" customHeight="1" x14ac:dyDescent="0.25">
      <c r="B25" s="53"/>
      <c r="C25" s="15" t="s">
        <v>19</v>
      </c>
      <c r="D25" s="14"/>
      <c r="E25" s="14"/>
      <c r="F25" s="14"/>
      <c r="G25" s="14"/>
      <c r="H25" s="14"/>
      <c r="I25" s="14"/>
      <c r="J25" s="57"/>
      <c r="K25" s="5"/>
      <c r="L25" s="5"/>
    </row>
    <row r="26" spans="2:26" ht="33" customHeight="1" x14ac:dyDescent="0.25">
      <c r="B26" s="53"/>
      <c r="C26" s="10" t="s">
        <v>15</v>
      </c>
      <c r="D26" s="11"/>
      <c r="E26" s="11"/>
      <c r="F26" s="11"/>
      <c r="G26" s="11"/>
      <c r="H26" s="11"/>
      <c r="I26" s="11"/>
      <c r="J26" s="57"/>
      <c r="N26" s="12"/>
      <c r="O26" s="8"/>
      <c r="P26" s="5"/>
      <c r="Q26" s="5"/>
    </row>
    <row r="27" spans="2:26" x14ac:dyDescent="0.2">
      <c r="B27" s="53"/>
      <c r="C27" s="54"/>
      <c r="D27" s="71"/>
      <c r="E27" s="71"/>
      <c r="F27" s="71"/>
      <c r="G27" s="71"/>
      <c r="H27" s="71"/>
      <c r="I27" s="71"/>
      <c r="J27" s="57"/>
      <c r="K27" s="5"/>
      <c r="L27" s="5"/>
      <c r="M27" s="5"/>
      <c r="N27" s="5"/>
      <c r="O27" s="5"/>
      <c r="P27" s="5"/>
    </row>
    <row r="28" spans="2:26" ht="18.75" customHeight="1" x14ac:dyDescent="0.25">
      <c r="B28" s="53"/>
      <c r="C28" s="54"/>
      <c r="D28" s="85" t="s">
        <v>6</v>
      </c>
      <c r="E28" s="86"/>
      <c r="F28" s="86"/>
      <c r="G28" s="86"/>
      <c r="H28" s="86"/>
      <c r="I28" s="87"/>
      <c r="J28" s="57"/>
      <c r="K28" s="5"/>
      <c r="L28" s="5"/>
      <c r="M28" s="5"/>
      <c r="N28" s="7"/>
      <c r="O28" s="4"/>
      <c r="P28" s="5"/>
    </row>
    <row r="29" spans="2:26" customFormat="1" ht="23.25" customHeight="1" x14ac:dyDescent="0.2">
      <c r="B29" s="62"/>
      <c r="C29" s="50" t="s">
        <v>35</v>
      </c>
      <c r="D29" s="80" t="str">
        <f t="shared" ref="D29:I29" si="3">D9</f>
        <v>A</v>
      </c>
      <c r="E29" s="80" t="str">
        <f t="shared" si="3"/>
        <v>B</v>
      </c>
      <c r="F29" s="80" t="str">
        <f t="shared" si="3"/>
        <v>C</v>
      </c>
      <c r="G29" s="80" t="str">
        <f t="shared" si="3"/>
        <v>D</v>
      </c>
      <c r="H29" s="80" t="str">
        <f t="shared" si="3"/>
        <v>E</v>
      </c>
      <c r="I29" s="80" t="str">
        <f t="shared" si="3"/>
        <v>F</v>
      </c>
      <c r="J29" s="66"/>
    </row>
    <row r="30" spans="2:26" ht="22.5" customHeight="1" x14ac:dyDescent="0.2">
      <c r="B30" s="53"/>
      <c r="C30" s="20" t="s">
        <v>7</v>
      </c>
      <c r="D30" s="22">
        <v>40</v>
      </c>
      <c r="E30" s="22">
        <v>40</v>
      </c>
      <c r="F30" s="22">
        <v>100</v>
      </c>
      <c r="G30" s="22">
        <v>100</v>
      </c>
      <c r="H30" s="22">
        <v>150</v>
      </c>
      <c r="I30" s="22">
        <v>200</v>
      </c>
      <c r="J30" s="57"/>
      <c r="K30" s="5"/>
      <c r="L30" s="5"/>
      <c r="M30" s="5"/>
      <c r="N30" s="5"/>
      <c r="O30" s="5"/>
      <c r="P30" s="5"/>
    </row>
    <row r="31" spans="2:26" ht="28.5" customHeight="1" x14ac:dyDescent="0.2">
      <c r="B31" s="53"/>
      <c r="C31" s="20" t="s">
        <v>21</v>
      </c>
      <c r="D31" s="17">
        <f>D30*D12</f>
        <v>0</v>
      </c>
      <c r="E31" s="17">
        <f t="shared" ref="E31:I31" si="4">E30*E12</f>
        <v>0</v>
      </c>
      <c r="F31" s="17">
        <f t="shared" si="4"/>
        <v>0</v>
      </c>
      <c r="G31" s="17">
        <f t="shared" si="4"/>
        <v>0</v>
      </c>
      <c r="H31" s="17">
        <f t="shared" si="4"/>
        <v>0</v>
      </c>
      <c r="I31" s="17">
        <f t="shared" si="4"/>
        <v>0</v>
      </c>
      <c r="J31" s="57"/>
      <c r="M31" s="5"/>
      <c r="N31" s="7"/>
      <c r="O31" s="4"/>
      <c r="P31" s="5"/>
    </row>
    <row r="32" spans="2:26" x14ac:dyDescent="0.2">
      <c r="B32" s="63"/>
      <c r="C32" s="64"/>
      <c r="D32" s="64"/>
      <c r="E32" s="64"/>
      <c r="F32" s="64"/>
      <c r="G32" s="64"/>
      <c r="H32" s="64"/>
      <c r="I32" s="64"/>
      <c r="J32" s="65"/>
    </row>
    <row r="33" spans="3:9" customFormat="1" x14ac:dyDescent="0.2">
      <c r="C33" s="3"/>
      <c r="D33" s="3"/>
      <c r="E33" s="3"/>
      <c r="F33" s="3"/>
      <c r="G33" s="3"/>
      <c r="H33" s="3"/>
      <c r="I33" s="3"/>
    </row>
    <row r="34" spans="3:9" x14ac:dyDescent="0.2">
      <c r="D34" s="16"/>
      <c r="E34" s="16"/>
      <c r="F34" s="16"/>
      <c r="G34" s="16"/>
      <c r="H34" s="16"/>
    </row>
    <row r="35" spans="3:9" x14ac:dyDescent="0.2">
      <c r="D35" s="16"/>
      <c r="E35" s="16"/>
      <c r="F35" s="16"/>
      <c r="G35" s="16"/>
      <c r="H35" s="16"/>
    </row>
    <row r="36" spans="3:9" x14ac:dyDescent="0.2">
      <c r="D36" s="16"/>
      <c r="E36" s="16"/>
      <c r="F36" s="16"/>
      <c r="G36" s="16"/>
      <c r="H36" s="16"/>
    </row>
    <row r="37" spans="3:9" x14ac:dyDescent="0.2">
      <c r="D37" s="16"/>
      <c r="E37" s="16"/>
      <c r="F37" s="16"/>
      <c r="G37" s="16"/>
      <c r="H37" s="16"/>
    </row>
    <row r="38" spans="3:9" x14ac:dyDescent="0.2">
      <c r="D38" s="16"/>
      <c r="E38" s="16"/>
      <c r="F38" s="16"/>
      <c r="G38" s="16"/>
      <c r="H38" s="16"/>
    </row>
    <row r="39" spans="3:9" x14ac:dyDescent="0.2">
      <c r="D39" s="16"/>
      <c r="E39" s="16"/>
      <c r="F39" s="16"/>
      <c r="G39" s="16"/>
      <c r="H39" s="16"/>
    </row>
    <row r="40" spans="3:9" x14ac:dyDescent="0.2">
      <c r="D40" s="16"/>
      <c r="E40" s="16"/>
      <c r="F40" s="16"/>
      <c r="G40" s="16"/>
      <c r="H40" s="16"/>
    </row>
    <row r="41" spans="3:9" x14ac:dyDescent="0.2">
      <c r="D41" s="16"/>
      <c r="E41" s="16"/>
      <c r="F41" s="16"/>
      <c r="G41" s="16"/>
      <c r="H41" s="16"/>
    </row>
    <row r="42" spans="3:9" x14ac:dyDescent="0.2">
      <c r="D42" s="16"/>
      <c r="E42" s="16"/>
      <c r="F42" s="16"/>
      <c r="G42" s="16"/>
      <c r="H42" s="16"/>
    </row>
    <row r="43" spans="3:9" x14ac:dyDescent="0.2">
      <c r="D43" s="16"/>
      <c r="E43" s="16"/>
      <c r="F43" s="16"/>
      <c r="G43" s="16"/>
      <c r="H43" s="16"/>
    </row>
    <row r="44" spans="3:9" x14ac:dyDescent="0.2">
      <c r="D44" s="16"/>
      <c r="E44" s="16"/>
      <c r="F44" s="16"/>
      <c r="G44" s="16"/>
      <c r="H44" s="16"/>
    </row>
    <row r="45" spans="3:9" x14ac:dyDescent="0.2">
      <c r="D45" s="16"/>
      <c r="E45" s="16"/>
      <c r="F45" s="16"/>
      <c r="G45" s="16"/>
      <c r="H45" s="16"/>
    </row>
    <row r="46" spans="3:9" x14ac:dyDescent="0.2">
      <c r="D46" s="16"/>
      <c r="E46" s="16"/>
      <c r="F46" s="16"/>
      <c r="G46" s="16"/>
      <c r="H46" s="16"/>
    </row>
    <row r="47" spans="3:9" x14ac:dyDescent="0.2">
      <c r="D47" s="16"/>
      <c r="E47" s="16"/>
      <c r="F47" s="16"/>
      <c r="G47" s="16"/>
      <c r="H47" s="16"/>
    </row>
    <row r="48" spans="3:9" x14ac:dyDescent="0.2">
      <c r="D48" s="16"/>
      <c r="E48" s="16"/>
      <c r="F48" s="16"/>
      <c r="G48" s="16"/>
      <c r="H48" s="16"/>
    </row>
    <row r="49" spans="4:8" x14ac:dyDescent="0.2">
      <c r="D49" s="16"/>
      <c r="E49" s="16"/>
      <c r="F49" s="16"/>
      <c r="G49" s="16"/>
      <c r="H49" s="16"/>
    </row>
    <row r="50" spans="4:8" x14ac:dyDescent="0.2">
      <c r="D50" s="16"/>
      <c r="E50" s="16"/>
      <c r="F50" s="16"/>
      <c r="G50" s="16"/>
      <c r="H50" s="16"/>
    </row>
    <row r="51" spans="4:8" x14ac:dyDescent="0.2">
      <c r="D51" s="16"/>
      <c r="E51" s="16"/>
      <c r="F51" s="16"/>
      <c r="G51" s="16"/>
      <c r="H51" s="16"/>
    </row>
    <row r="52" spans="4:8" x14ac:dyDescent="0.2">
      <c r="D52" s="16"/>
      <c r="E52" s="16"/>
      <c r="F52" s="16"/>
      <c r="G52" s="16"/>
      <c r="H52" s="16"/>
    </row>
    <row r="53" spans="4:8" x14ac:dyDescent="0.2">
      <c r="D53" s="16"/>
      <c r="E53" s="16"/>
      <c r="F53" s="16"/>
      <c r="G53" s="16"/>
      <c r="H53" s="16"/>
    </row>
    <row r="54" spans="4:8" x14ac:dyDescent="0.2">
      <c r="D54" s="16"/>
      <c r="E54" s="16"/>
      <c r="F54" s="16"/>
      <c r="G54" s="16"/>
      <c r="H54" s="16"/>
    </row>
    <row r="55" spans="4:8" x14ac:dyDescent="0.2">
      <c r="D55" s="16"/>
      <c r="E55" s="16"/>
      <c r="F55" s="16"/>
      <c r="G55" s="16"/>
      <c r="H55" s="16"/>
    </row>
    <row r="56" spans="4:8" x14ac:dyDescent="0.2">
      <c r="D56" s="16"/>
      <c r="E56" s="16"/>
      <c r="F56" s="16"/>
      <c r="G56" s="16"/>
      <c r="H56" s="16"/>
    </row>
    <row r="57" spans="4:8" x14ac:dyDescent="0.2">
      <c r="D57" s="16"/>
      <c r="E57" s="16"/>
      <c r="F57" s="16"/>
      <c r="G57" s="16"/>
      <c r="H57" s="16"/>
    </row>
    <row r="58" spans="4:8" x14ac:dyDescent="0.2">
      <c r="D58" s="16"/>
      <c r="E58" s="16"/>
      <c r="F58" s="16"/>
      <c r="G58" s="16"/>
      <c r="H58" s="16"/>
    </row>
    <row r="59" spans="4:8" x14ac:dyDescent="0.2">
      <c r="D59" s="16"/>
      <c r="E59" s="16"/>
      <c r="F59" s="16"/>
      <c r="G59" s="16"/>
      <c r="H59" s="16"/>
    </row>
    <row r="60" spans="4:8" x14ac:dyDescent="0.2">
      <c r="D60" s="16"/>
      <c r="E60" s="16"/>
      <c r="F60" s="16"/>
      <c r="G60" s="16"/>
      <c r="H60" s="16"/>
    </row>
    <row r="61" spans="4:8" x14ac:dyDescent="0.2">
      <c r="D61" s="16"/>
      <c r="E61" s="16"/>
      <c r="F61" s="16"/>
      <c r="G61" s="16"/>
      <c r="H61" s="16"/>
    </row>
    <row r="62" spans="4:8" x14ac:dyDescent="0.2">
      <c r="D62" s="16"/>
      <c r="E62" s="16"/>
      <c r="F62" s="16"/>
      <c r="G62" s="16"/>
      <c r="H62" s="16"/>
    </row>
    <row r="63" spans="4:8" x14ac:dyDescent="0.2">
      <c r="D63" s="16"/>
      <c r="E63" s="16"/>
      <c r="F63" s="16"/>
      <c r="G63" s="16"/>
      <c r="H63" s="16"/>
    </row>
    <row r="64" spans="4:8" x14ac:dyDescent="0.2">
      <c r="D64" s="16"/>
      <c r="E64" s="16"/>
      <c r="F64" s="16"/>
      <c r="G64" s="16"/>
      <c r="H64" s="16"/>
    </row>
    <row r="65" spans="4:8" x14ac:dyDescent="0.2">
      <c r="D65" s="16"/>
      <c r="E65" s="16"/>
      <c r="F65" s="16"/>
      <c r="G65" s="16"/>
      <c r="H65" s="16"/>
    </row>
    <row r="66" spans="4:8" x14ac:dyDescent="0.2">
      <c r="D66" s="16"/>
      <c r="E66" s="16"/>
      <c r="F66" s="16"/>
      <c r="G66" s="16"/>
      <c r="H66" s="16"/>
    </row>
    <row r="67" spans="4:8" x14ac:dyDescent="0.2">
      <c r="D67" s="16"/>
      <c r="E67" s="16"/>
      <c r="F67" s="16"/>
      <c r="G67" s="16"/>
      <c r="H67" s="16"/>
    </row>
    <row r="68" spans="4:8" x14ac:dyDescent="0.2">
      <c r="D68" s="16"/>
      <c r="E68" s="16"/>
      <c r="F68" s="16"/>
      <c r="G68" s="16"/>
      <c r="H68" s="16"/>
    </row>
    <row r="69" spans="4:8" x14ac:dyDescent="0.2">
      <c r="D69" s="16"/>
      <c r="E69" s="16"/>
      <c r="F69" s="16"/>
      <c r="G69" s="16"/>
      <c r="H69" s="16"/>
    </row>
    <row r="70" spans="4:8" x14ac:dyDescent="0.2">
      <c r="D70" s="16"/>
      <c r="E70" s="16"/>
      <c r="F70" s="16"/>
      <c r="G70" s="16"/>
      <c r="H70" s="16"/>
    </row>
    <row r="71" spans="4:8" x14ac:dyDescent="0.2">
      <c r="D71" s="16"/>
      <c r="E71" s="16"/>
      <c r="F71" s="16"/>
      <c r="G71" s="16"/>
      <c r="H71" s="16"/>
    </row>
    <row r="72" spans="4:8" x14ac:dyDescent="0.2">
      <c r="D72" s="16"/>
      <c r="E72" s="16"/>
      <c r="F72" s="16"/>
      <c r="G72" s="16"/>
      <c r="H72" s="16"/>
    </row>
    <row r="73" spans="4:8" x14ac:dyDescent="0.2">
      <c r="D73" s="16"/>
      <c r="E73" s="16"/>
      <c r="F73" s="16"/>
      <c r="G73" s="16"/>
      <c r="H73" s="16"/>
    </row>
    <row r="74" spans="4:8" x14ac:dyDescent="0.2">
      <c r="D74" s="16"/>
      <c r="E74" s="16"/>
      <c r="F74" s="16"/>
      <c r="G74" s="16"/>
      <c r="H74" s="16"/>
    </row>
    <row r="75" spans="4:8" x14ac:dyDescent="0.2">
      <c r="D75" s="16"/>
      <c r="E75" s="16"/>
      <c r="F75" s="16"/>
      <c r="G75" s="16"/>
      <c r="H75" s="16"/>
    </row>
    <row r="76" spans="4:8" x14ac:dyDescent="0.2">
      <c r="D76" s="16"/>
      <c r="E76" s="16"/>
      <c r="F76" s="16"/>
      <c r="G76" s="16"/>
      <c r="H76" s="16"/>
    </row>
    <row r="77" spans="4:8" x14ac:dyDescent="0.2">
      <c r="D77" s="16"/>
      <c r="E77" s="16"/>
      <c r="F77" s="16"/>
      <c r="G77" s="16"/>
      <c r="H77" s="16"/>
    </row>
    <row r="78" spans="4:8" x14ac:dyDescent="0.2">
      <c r="D78" s="16"/>
      <c r="E78" s="16"/>
      <c r="F78" s="16"/>
      <c r="G78" s="16"/>
      <c r="H78" s="16"/>
    </row>
    <row r="79" spans="4:8" x14ac:dyDescent="0.2">
      <c r="D79" s="16"/>
      <c r="E79" s="16"/>
      <c r="F79" s="16"/>
      <c r="G79" s="16"/>
      <c r="H79" s="16"/>
    </row>
    <row r="80" spans="4:8" x14ac:dyDescent="0.2">
      <c r="D80" s="16"/>
      <c r="E80" s="16"/>
      <c r="F80" s="16"/>
      <c r="G80" s="16"/>
      <c r="H80" s="16"/>
    </row>
    <row r="81" spans="4:8" x14ac:dyDescent="0.2">
      <c r="D81" s="16"/>
      <c r="E81" s="16"/>
      <c r="F81" s="16"/>
      <c r="G81" s="16"/>
      <c r="H81" s="16"/>
    </row>
    <row r="82" spans="4:8" x14ac:dyDescent="0.2">
      <c r="D82" s="16"/>
      <c r="E82" s="16"/>
      <c r="F82" s="16"/>
      <c r="G82" s="16"/>
      <c r="H82" s="16"/>
    </row>
    <row r="83" spans="4:8" x14ac:dyDescent="0.2">
      <c r="D83" s="16"/>
      <c r="E83" s="16"/>
      <c r="F83" s="16"/>
      <c r="G83" s="16"/>
      <c r="H83" s="16"/>
    </row>
    <row r="84" spans="4:8" x14ac:dyDescent="0.2">
      <c r="D84" s="16"/>
      <c r="E84" s="16"/>
      <c r="F84" s="16"/>
      <c r="G84" s="16"/>
      <c r="H84" s="16"/>
    </row>
    <row r="85" spans="4:8" x14ac:dyDescent="0.2">
      <c r="D85" s="16"/>
      <c r="E85" s="16"/>
      <c r="F85" s="16"/>
      <c r="G85" s="16"/>
      <c r="H85" s="16"/>
    </row>
    <row r="86" spans="4:8" x14ac:dyDescent="0.2">
      <c r="D86" s="16"/>
      <c r="E86" s="16"/>
      <c r="F86" s="16"/>
      <c r="G86" s="16"/>
      <c r="H86" s="16"/>
    </row>
    <row r="87" spans="4:8" x14ac:dyDescent="0.2">
      <c r="D87" s="16"/>
      <c r="E87" s="16"/>
      <c r="F87" s="16"/>
      <c r="G87" s="16"/>
      <c r="H87" s="16"/>
    </row>
    <row r="88" spans="4:8" x14ac:dyDescent="0.2">
      <c r="D88" s="16"/>
      <c r="E88" s="16"/>
      <c r="F88" s="16"/>
      <c r="G88" s="16"/>
      <c r="H88" s="16"/>
    </row>
    <row r="89" spans="4:8" x14ac:dyDescent="0.2">
      <c r="D89" s="16"/>
      <c r="E89" s="16"/>
      <c r="F89" s="16"/>
      <c r="G89" s="16"/>
      <c r="H89" s="16"/>
    </row>
    <row r="90" spans="4:8" x14ac:dyDescent="0.2">
      <c r="D90" s="16"/>
      <c r="E90" s="16"/>
      <c r="F90" s="16"/>
      <c r="G90" s="16"/>
      <c r="H90" s="16"/>
    </row>
    <row r="91" spans="4:8" x14ac:dyDescent="0.2">
      <c r="D91" s="16"/>
      <c r="E91" s="16"/>
      <c r="F91" s="16"/>
      <c r="G91" s="16"/>
      <c r="H91" s="16"/>
    </row>
    <row r="92" spans="4:8" x14ac:dyDescent="0.2">
      <c r="D92" s="16"/>
      <c r="E92" s="16"/>
      <c r="F92" s="16"/>
      <c r="G92" s="16"/>
      <c r="H92" s="16"/>
    </row>
    <row r="93" spans="4:8" x14ac:dyDescent="0.2">
      <c r="D93" s="16"/>
      <c r="E93" s="16"/>
      <c r="F93" s="16"/>
      <c r="G93" s="16"/>
      <c r="H93" s="16"/>
    </row>
    <row r="94" spans="4:8" x14ac:dyDescent="0.2">
      <c r="D94" s="16"/>
      <c r="E94" s="16"/>
      <c r="F94" s="16"/>
      <c r="G94" s="16"/>
      <c r="H94" s="16"/>
    </row>
    <row r="95" spans="4:8" x14ac:dyDescent="0.2">
      <c r="D95" s="16"/>
      <c r="E95" s="16"/>
      <c r="F95" s="16"/>
      <c r="G95" s="16"/>
      <c r="H95" s="16"/>
    </row>
    <row r="96" spans="4:8" x14ac:dyDescent="0.2">
      <c r="D96" s="16"/>
      <c r="E96" s="16"/>
      <c r="F96" s="16"/>
      <c r="G96" s="16"/>
      <c r="H96" s="16"/>
    </row>
    <row r="97" spans="4:8" x14ac:dyDescent="0.2">
      <c r="D97" s="16"/>
      <c r="E97" s="16"/>
      <c r="F97" s="16"/>
      <c r="G97" s="16"/>
      <c r="H97" s="16"/>
    </row>
    <row r="98" spans="4:8" x14ac:dyDescent="0.2">
      <c r="D98" s="16"/>
      <c r="E98" s="16"/>
      <c r="F98" s="16"/>
      <c r="G98" s="16"/>
      <c r="H98" s="16"/>
    </row>
    <row r="99" spans="4:8" x14ac:dyDescent="0.2">
      <c r="D99" s="16"/>
      <c r="E99" s="16"/>
      <c r="F99" s="16"/>
      <c r="G99" s="16"/>
      <c r="H99" s="16"/>
    </row>
    <row r="100" spans="4:8" x14ac:dyDescent="0.2">
      <c r="D100" s="16"/>
      <c r="E100" s="16"/>
      <c r="F100" s="16"/>
      <c r="G100" s="16"/>
      <c r="H100" s="16"/>
    </row>
  </sheetData>
  <mergeCells count="8">
    <mergeCell ref="B2:J2"/>
    <mergeCell ref="D8:I8"/>
    <mergeCell ref="D22:I22"/>
    <mergeCell ref="D28:I28"/>
    <mergeCell ref="N8:S8"/>
    <mergeCell ref="B4:J4"/>
    <mergeCell ref="B17:J17"/>
    <mergeCell ref="L4:T4"/>
  </mergeCells>
  <phoneticPr fontId="0" type="noConversion"/>
  <conditionalFormatting sqref="D19">
    <cfRule type="cellIs" dxfId="3" priority="2" stopIfTrue="1" operator="greaterThanOrEqual">
      <formula>$H$19</formula>
    </cfRule>
    <cfRule type="cellIs" dxfId="2" priority="3" stopIfTrue="1" operator="lessThan">
      <formula>$H$19</formula>
    </cfRule>
  </conditionalFormatting>
  <conditionalFormatting sqref="N11:S11">
    <cfRule type="top10" dxfId="1" priority="1" rank="1"/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Spinner 27">
              <controlPr defaultSize="0" autoPict="0">
                <anchor moveWithCells="1" sizeWithCells="1">
                  <from>
                    <xdr:col>7</xdr:col>
                    <xdr:colOff>628650</xdr:colOff>
                    <xdr:row>18</xdr:row>
                    <xdr:rowOff>0</xdr:rowOff>
                  </from>
                  <to>
                    <xdr:col>8</xdr:col>
                    <xdr:colOff>200025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5" name="Scroll Bar 30">
              <controlPr defaultSize="0" autoPict="0">
                <anchor moveWithCells="1">
                  <from>
                    <xdr:col>3</xdr:col>
                    <xdr:colOff>0</xdr:colOff>
                    <xdr:row>12</xdr:row>
                    <xdr:rowOff>9525</xdr:rowOff>
                  </from>
                  <to>
                    <xdr:col>4</xdr:col>
                    <xdr:colOff>85725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6" name="Scroll Bar 31">
              <controlPr defaultSize="0" autoPict="0">
                <anchor moveWithCells="1">
                  <from>
                    <xdr:col>4</xdr:col>
                    <xdr:colOff>0</xdr:colOff>
                    <xdr:row>12</xdr:row>
                    <xdr:rowOff>9525</xdr:rowOff>
                  </from>
                  <to>
                    <xdr:col>5</xdr:col>
                    <xdr:colOff>76200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7" name="Scroll Bar 32">
              <controlPr defaultSize="0" autoPict="0">
                <anchor moveWithCells="1">
                  <from>
                    <xdr:col>5</xdr:col>
                    <xdr:colOff>0</xdr:colOff>
                    <xdr:row>12</xdr:row>
                    <xdr:rowOff>9525</xdr:rowOff>
                  </from>
                  <to>
                    <xdr:col>6</xdr:col>
                    <xdr:colOff>85725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8" name="Scroll Bar 33">
              <controlPr defaultSize="0" autoPict="0">
                <anchor moveWithCells="1">
                  <from>
                    <xdr:col>6</xdr:col>
                    <xdr:colOff>0</xdr:colOff>
                    <xdr:row>12</xdr:row>
                    <xdr:rowOff>9525</xdr:rowOff>
                  </from>
                  <to>
                    <xdr:col>7</xdr:col>
                    <xdr:colOff>76200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9" name="Scroll Bar 34">
              <controlPr defaultSize="0" autoPict="0">
                <anchor moveWithCells="1">
                  <from>
                    <xdr:col>7</xdr:col>
                    <xdr:colOff>0</xdr:colOff>
                    <xdr:row>12</xdr:row>
                    <xdr:rowOff>9525</xdr:rowOff>
                  </from>
                  <to>
                    <xdr:col>8</xdr:col>
                    <xdr:colOff>85725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10" name="Scroll Bar 35">
              <controlPr defaultSize="0" autoPict="0">
                <anchor moveWithCells="1">
                  <from>
                    <xdr:col>8</xdr:col>
                    <xdr:colOff>0</xdr:colOff>
                    <xdr:row>12</xdr:row>
                    <xdr:rowOff>9525</xdr:rowOff>
                  </from>
                  <to>
                    <xdr:col>9</xdr:col>
                    <xdr:colOff>76200</xdr:colOff>
                    <xdr:row>12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Q43"/>
  <sheetViews>
    <sheetView workbookViewId="0">
      <selection activeCell="E33" sqref="E33"/>
    </sheetView>
  </sheetViews>
  <sheetFormatPr defaultRowHeight="12.75" x14ac:dyDescent="0.2"/>
  <cols>
    <col min="1" max="2" width="8" style="34" customWidth="1"/>
    <col min="3" max="3" width="8" style="34" bestFit="1" customWidth="1"/>
    <col min="4" max="9" width="7.85546875" style="34" customWidth="1"/>
    <col min="10" max="15" width="7.7109375" style="34" customWidth="1"/>
    <col min="16" max="16384" width="9.140625" style="34"/>
  </cols>
  <sheetData>
    <row r="2" spans="2:9" x14ac:dyDescent="0.2">
      <c r="B2" s="32"/>
      <c r="C2" s="32"/>
      <c r="D2" s="33"/>
      <c r="E2" s="32"/>
    </row>
    <row r="4" spans="2:9" ht="15.75" customHeight="1" x14ac:dyDescent="0.25">
      <c r="D4" s="92" t="s">
        <v>25</v>
      </c>
      <c r="E4" s="93"/>
      <c r="F4" s="93"/>
      <c r="G4" s="93"/>
      <c r="H4" s="93"/>
      <c r="I4" s="94"/>
    </row>
    <row r="5" spans="2:9" ht="15.75" x14ac:dyDescent="0.25">
      <c r="C5" s="35"/>
      <c r="D5" s="95" t="s">
        <v>6</v>
      </c>
      <c r="E5" s="96"/>
      <c r="F5" s="96"/>
      <c r="G5" s="96"/>
      <c r="H5" s="96"/>
      <c r="I5" s="97"/>
    </row>
    <row r="6" spans="2:9" ht="18" customHeight="1" x14ac:dyDescent="0.25">
      <c r="C6" s="36" t="s">
        <v>26</v>
      </c>
      <c r="D6" s="37" t="s">
        <v>0</v>
      </c>
      <c r="E6" s="38" t="s">
        <v>1</v>
      </c>
      <c r="F6" s="38" t="s">
        <v>2</v>
      </c>
      <c r="G6" s="38" t="s">
        <v>3</v>
      </c>
      <c r="H6" s="38" t="s">
        <v>4</v>
      </c>
      <c r="I6" s="38" t="s">
        <v>5</v>
      </c>
    </row>
    <row r="7" spans="2:9" ht="18" customHeight="1" x14ac:dyDescent="0.2">
      <c r="C7" s="39">
        <v>1</v>
      </c>
      <c r="D7" s="40">
        <v>3</v>
      </c>
      <c r="E7" s="40">
        <v>2.5</v>
      </c>
      <c r="F7" s="40">
        <v>0.75</v>
      </c>
      <c r="G7" s="40">
        <v>0.75</v>
      </c>
      <c r="H7" s="40">
        <v>0.75</v>
      </c>
      <c r="I7" s="40">
        <v>0.75</v>
      </c>
    </row>
    <row r="8" spans="2:9" ht="18" customHeight="1" x14ac:dyDescent="0.2">
      <c r="C8" s="39">
        <v>2</v>
      </c>
      <c r="D8" s="40">
        <v>1.95</v>
      </c>
      <c r="E8" s="40">
        <v>1.35</v>
      </c>
      <c r="F8" s="40">
        <v>0.3</v>
      </c>
      <c r="G8" s="40">
        <v>0.45</v>
      </c>
      <c r="H8" s="40">
        <v>0.4</v>
      </c>
      <c r="I8" s="40">
        <v>0.4</v>
      </c>
    </row>
    <row r="9" spans="2:9" ht="18" customHeight="1" x14ac:dyDescent="0.2">
      <c r="C9" s="39">
        <v>3</v>
      </c>
      <c r="D9" s="40">
        <v>2</v>
      </c>
      <c r="E9" s="40">
        <v>1.7</v>
      </c>
      <c r="F9" s="40">
        <v>0.55000000000000004</v>
      </c>
      <c r="G9" s="40">
        <v>0.55000000000000004</v>
      </c>
      <c r="H9" s="40">
        <v>0.35</v>
      </c>
      <c r="I9" s="40">
        <v>0.65</v>
      </c>
    </row>
    <row r="10" spans="2:9" ht="18" customHeight="1" x14ac:dyDescent="0.2">
      <c r="C10" s="39">
        <v>4</v>
      </c>
      <c r="D10" s="40">
        <v>0.45</v>
      </c>
      <c r="E10" s="40">
        <v>0.5</v>
      </c>
      <c r="F10" s="40">
        <v>0.2</v>
      </c>
      <c r="G10" s="40">
        <v>0.1</v>
      </c>
      <c r="H10" s="40">
        <v>0.2</v>
      </c>
      <c r="I10" s="40">
        <v>0.1</v>
      </c>
    </row>
    <row r="11" spans="2:9" ht="18" customHeight="1" x14ac:dyDescent="0.2">
      <c r="C11" s="39">
        <v>5</v>
      </c>
      <c r="D11" s="40">
        <v>0.85000000000000009</v>
      </c>
      <c r="E11" s="40">
        <v>1</v>
      </c>
      <c r="F11" s="40">
        <v>0.4</v>
      </c>
      <c r="G11" s="40">
        <v>0.55000000000000004</v>
      </c>
      <c r="H11" s="40">
        <v>0.55000000000000004</v>
      </c>
      <c r="I11" s="40">
        <v>0.5</v>
      </c>
    </row>
    <row r="12" spans="2:9" ht="18" customHeight="1" x14ac:dyDescent="0.2">
      <c r="C12" s="39">
        <v>6</v>
      </c>
      <c r="D12" s="40">
        <v>3.85</v>
      </c>
      <c r="E12" s="40">
        <v>3.5</v>
      </c>
      <c r="F12" s="40">
        <v>1.1499999999999999</v>
      </c>
      <c r="G12" s="40">
        <v>1.3</v>
      </c>
      <c r="H12" s="40">
        <v>1.3</v>
      </c>
      <c r="I12" s="40">
        <v>1.25</v>
      </c>
    </row>
    <row r="13" spans="2:9" ht="18" customHeight="1" x14ac:dyDescent="0.2">
      <c r="C13" s="39">
        <v>7</v>
      </c>
      <c r="D13" s="40">
        <v>7.75</v>
      </c>
      <c r="E13" s="40">
        <v>7.7</v>
      </c>
      <c r="F13" s="40">
        <v>1.8</v>
      </c>
      <c r="G13" s="40">
        <v>2.65</v>
      </c>
      <c r="H13" s="40">
        <v>1.05</v>
      </c>
      <c r="I13" s="40">
        <v>2.15</v>
      </c>
    </row>
    <row r="14" spans="2:9" ht="18" customHeight="1" x14ac:dyDescent="0.2">
      <c r="C14" s="39">
        <v>8</v>
      </c>
      <c r="D14" s="40">
        <v>5.4</v>
      </c>
      <c r="E14" s="40">
        <v>6.1499999999999995</v>
      </c>
      <c r="F14" s="40">
        <v>1.3</v>
      </c>
      <c r="G14" s="40">
        <v>1.75</v>
      </c>
      <c r="H14" s="40">
        <v>1.75</v>
      </c>
      <c r="I14" s="40">
        <v>1.85</v>
      </c>
    </row>
    <row r="15" spans="2:9" ht="18" customHeight="1" x14ac:dyDescent="0.2">
      <c r="C15" s="39">
        <v>9</v>
      </c>
      <c r="D15" s="40">
        <v>5</v>
      </c>
      <c r="E15" s="40">
        <v>5.15</v>
      </c>
      <c r="F15" s="40">
        <v>1.35</v>
      </c>
      <c r="G15" s="40">
        <v>1.45</v>
      </c>
      <c r="H15" s="40">
        <v>1.95</v>
      </c>
      <c r="I15" s="40">
        <v>1.9</v>
      </c>
    </row>
    <row r="16" spans="2:9" ht="18" customHeight="1" x14ac:dyDescent="0.2">
      <c r="C16" s="39">
        <v>10</v>
      </c>
      <c r="D16" s="40">
        <v>10.4</v>
      </c>
      <c r="E16" s="40">
        <v>11.3</v>
      </c>
      <c r="F16" s="40">
        <v>2.6500000000000004</v>
      </c>
      <c r="G16" s="40">
        <v>3.2</v>
      </c>
      <c r="H16" s="40">
        <v>3.7</v>
      </c>
      <c r="I16" s="40">
        <v>3.75</v>
      </c>
    </row>
    <row r="17" spans="2:17" ht="18" customHeight="1" x14ac:dyDescent="0.2"/>
    <row r="18" spans="2:17" ht="18" customHeight="1" x14ac:dyDescent="0.2"/>
    <row r="19" spans="2:17" ht="18" customHeight="1" x14ac:dyDescent="0.25">
      <c r="D19" s="92" t="s">
        <v>27</v>
      </c>
      <c r="E19" s="93"/>
      <c r="F19" s="93"/>
      <c r="G19" s="93"/>
      <c r="H19" s="93"/>
      <c r="I19" s="94"/>
    </row>
    <row r="20" spans="2:17" ht="18" customHeight="1" x14ac:dyDescent="0.25">
      <c r="D20" s="95" t="s">
        <v>6</v>
      </c>
      <c r="E20" s="96"/>
      <c r="F20" s="96"/>
      <c r="G20" s="96"/>
      <c r="H20" s="96"/>
      <c r="I20" s="97"/>
    </row>
    <row r="21" spans="2:17" ht="18" customHeight="1" x14ac:dyDescent="0.25">
      <c r="C21" s="36" t="s">
        <v>26</v>
      </c>
      <c r="D21" s="38" t="s">
        <v>0</v>
      </c>
      <c r="E21" s="38" t="s">
        <v>1</v>
      </c>
      <c r="F21" s="38" t="s">
        <v>2</v>
      </c>
      <c r="G21" s="38" t="s">
        <v>3</v>
      </c>
      <c r="H21" s="38" t="s">
        <v>4</v>
      </c>
      <c r="I21" s="38" t="s">
        <v>5</v>
      </c>
    </row>
    <row r="22" spans="2:17" ht="18" customHeight="1" x14ac:dyDescent="0.2">
      <c r="C22" s="39">
        <v>1</v>
      </c>
      <c r="D22" s="41">
        <v>2</v>
      </c>
      <c r="E22" s="41">
        <v>2</v>
      </c>
      <c r="F22" s="41">
        <v>2</v>
      </c>
      <c r="G22" s="41">
        <v>2</v>
      </c>
      <c r="H22" s="41">
        <v>2</v>
      </c>
      <c r="I22" s="41">
        <v>2</v>
      </c>
      <c r="J22" s="42"/>
      <c r="K22" s="42"/>
      <c r="L22" s="42"/>
      <c r="M22" s="42"/>
      <c r="N22" s="42"/>
      <c r="O22" s="42"/>
      <c r="P22" s="42"/>
      <c r="Q22" s="42"/>
    </row>
    <row r="23" spans="2:17" s="42" customFormat="1" ht="18" customHeight="1" x14ac:dyDescent="0.2">
      <c r="C23" s="39">
        <v>2</v>
      </c>
      <c r="D23" s="41">
        <v>2</v>
      </c>
      <c r="E23" s="41">
        <v>2</v>
      </c>
      <c r="F23" s="41">
        <v>2</v>
      </c>
      <c r="G23" s="41">
        <v>2</v>
      </c>
      <c r="H23" s="41">
        <v>2</v>
      </c>
      <c r="I23" s="41">
        <v>2</v>
      </c>
      <c r="J23" s="34"/>
      <c r="K23" s="34"/>
      <c r="L23" s="34"/>
      <c r="M23" s="34"/>
      <c r="N23" s="34"/>
      <c r="O23" s="34"/>
      <c r="P23" s="34"/>
      <c r="Q23" s="34"/>
    </row>
    <row r="24" spans="2:17" ht="18" customHeight="1" x14ac:dyDescent="0.2">
      <c r="B24" s="43"/>
      <c r="C24" s="39">
        <v>3</v>
      </c>
      <c r="D24" s="41">
        <v>2</v>
      </c>
      <c r="E24" s="41">
        <v>2</v>
      </c>
      <c r="F24" s="41">
        <v>2</v>
      </c>
      <c r="G24" s="41">
        <v>2</v>
      </c>
      <c r="H24" s="41">
        <v>2</v>
      </c>
      <c r="I24" s="41">
        <v>2</v>
      </c>
    </row>
    <row r="25" spans="2:17" ht="18" customHeight="1" x14ac:dyDescent="0.2">
      <c r="B25" s="43"/>
      <c r="C25" s="39">
        <v>4</v>
      </c>
      <c r="D25" s="41">
        <v>2</v>
      </c>
      <c r="E25" s="41">
        <v>2</v>
      </c>
      <c r="F25" s="41">
        <v>2</v>
      </c>
      <c r="G25" s="41">
        <v>2</v>
      </c>
      <c r="H25" s="41">
        <v>2</v>
      </c>
      <c r="I25" s="41">
        <v>2</v>
      </c>
    </row>
    <row r="26" spans="2:17" ht="18" customHeight="1" x14ac:dyDescent="0.2">
      <c r="B26" s="43"/>
      <c r="C26" s="39">
        <v>5</v>
      </c>
      <c r="D26" s="41">
        <v>2</v>
      </c>
      <c r="E26" s="41">
        <v>2</v>
      </c>
      <c r="F26" s="41">
        <v>2</v>
      </c>
      <c r="G26" s="41">
        <v>2</v>
      </c>
      <c r="H26" s="41">
        <v>2</v>
      </c>
      <c r="I26" s="41">
        <v>2</v>
      </c>
    </row>
    <row r="27" spans="2:17" ht="18" customHeight="1" x14ac:dyDescent="0.2">
      <c r="B27" s="43"/>
      <c r="C27" s="39">
        <v>6</v>
      </c>
      <c r="D27" s="41">
        <v>3</v>
      </c>
      <c r="E27" s="41">
        <v>3</v>
      </c>
      <c r="F27" s="41">
        <v>3</v>
      </c>
      <c r="G27" s="41">
        <v>3</v>
      </c>
      <c r="H27" s="41">
        <v>3</v>
      </c>
      <c r="I27" s="41">
        <v>3</v>
      </c>
    </row>
    <row r="28" spans="2:17" ht="18" customHeight="1" x14ac:dyDescent="0.2">
      <c r="B28" s="43"/>
      <c r="C28" s="39">
        <v>7</v>
      </c>
      <c r="D28" s="41">
        <v>2</v>
      </c>
      <c r="E28" s="41">
        <v>2</v>
      </c>
      <c r="F28" s="41">
        <v>2</v>
      </c>
      <c r="G28" s="41">
        <v>2</v>
      </c>
      <c r="H28" s="41">
        <v>2</v>
      </c>
      <c r="I28" s="41">
        <v>2</v>
      </c>
    </row>
    <row r="29" spans="2:17" ht="18" customHeight="1" x14ac:dyDescent="0.2">
      <c r="B29" s="43"/>
      <c r="C29" s="39">
        <v>8</v>
      </c>
      <c r="D29" s="41">
        <v>1</v>
      </c>
      <c r="E29" s="41">
        <v>1</v>
      </c>
      <c r="F29" s="41">
        <v>1</v>
      </c>
      <c r="G29" s="41">
        <v>1</v>
      </c>
      <c r="H29" s="41">
        <v>1</v>
      </c>
      <c r="I29" s="41">
        <v>1</v>
      </c>
    </row>
    <row r="30" spans="2:17" ht="18" customHeight="1" x14ac:dyDescent="0.2">
      <c r="B30" s="43"/>
      <c r="C30" s="39">
        <v>9</v>
      </c>
      <c r="D30" s="41">
        <v>1</v>
      </c>
      <c r="E30" s="41">
        <v>1</v>
      </c>
      <c r="F30" s="41">
        <v>1</v>
      </c>
      <c r="G30" s="41">
        <v>1</v>
      </c>
      <c r="H30" s="41">
        <v>1</v>
      </c>
      <c r="I30" s="41">
        <v>1</v>
      </c>
    </row>
    <row r="31" spans="2:17" ht="18" customHeight="1" x14ac:dyDescent="0.2">
      <c r="B31" s="43"/>
      <c r="C31" s="39">
        <v>10</v>
      </c>
      <c r="D31" s="41">
        <v>1</v>
      </c>
      <c r="E31" s="41">
        <v>1</v>
      </c>
      <c r="F31" s="41">
        <v>1</v>
      </c>
      <c r="G31" s="41">
        <v>1</v>
      </c>
      <c r="H31" s="41">
        <v>1</v>
      </c>
      <c r="I31" s="41">
        <v>1</v>
      </c>
    </row>
    <row r="32" spans="2:17" ht="15.75" x14ac:dyDescent="0.2">
      <c r="B32" s="43"/>
      <c r="C32" s="44"/>
      <c r="D32" s="45"/>
      <c r="E32" s="45"/>
      <c r="F32" s="45"/>
      <c r="G32" s="45"/>
      <c r="H32" s="45"/>
      <c r="I32" s="45"/>
    </row>
    <row r="33" spans="2:9" ht="15.75" x14ac:dyDescent="0.2">
      <c r="B33" s="43"/>
      <c r="C33" s="44"/>
      <c r="D33" s="45"/>
      <c r="E33" s="45"/>
      <c r="F33" s="45"/>
      <c r="G33" s="45"/>
      <c r="H33" s="45"/>
      <c r="I33" s="45"/>
    </row>
    <row r="34" spans="2:9" ht="15.75" x14ac:dyDescent="0.2">
      <c r="B34" s="43"/>
      <c r="C34" s="44"/>
      <c r="D34" s="45"/>
      <c r="E34" s="45"/>
      <c r="F34" s="45"/>
      <c r="G34" s="45"/>
      <c r="H34" s="45"/>
      <c r="I34" s="45"/>
    </row>
    <row r="35" spans="2:9" ht="15.75" x14ac:dyDescent="0.2">
      <c r="B35" s="43"/>
      <c r="C35" s="44"/>
      <c r="D35" s="45"/>
      <c r="E35" s="45"/>
      <c r="F35" s="45"/>
      <c r="G35" s="45"/>
      <c r="H35" s="45"/>
      <c r="I35" s="45"/>
    </row>
    <row r="36" spans="2:9" ht="15.75" x14ac:dyDescent="0.2">
      <c r="B36" s="43"/>
      <c r="C36" s="44"/>
      <c r="D36" s="45"/>
      <c r="E36" s="45"/>
      <c r="F36" s="45"/>
      <c r="G36" s="45"/>
      <c r="H36" s="45"/>
      <c r="I36" s="45"/>
    </row>
    <row r="37" spans="2:9" ht="15.75" x14ac:dyDescent="0.2">
      <c r="B37" s="43"/>
      <c r="C37" s="44"/>
      <c r="D37" s="45"/>
      <c r="E37" s="45"/>
      <c r="F37" s="45"/>
      <c r="G37" s="45"/>
      <c r="H37" s="45"/>
      <c r="I37" s="45"/>
    </row>
    <row r="38" spans="2:9" ht="15.75" x14ac:dyDescent="0.2">
      <c r="B38" s="43"/>
      <c r="C38" s="44"/>
      <c r="D38" s="45"/>
      <c r="E38" s="45"/>
      <c r="F38" s="45"/>
      <c r="G38" s="45"/>
      <c r="H38" s="45"/>
      <c r="I38" s="45"/>
    </row>
    <row r="39" spans="2:9" ht="15.75" x14ac:dyDescent="0.2">
      <c r="B39" s="43"/>
      <c r="C39" s="44"/>
      <c r="D39" s="45"/>
      <c r="E39" s="45"/>
      <c r="F39" s="45"/>
      <c r="G39" s="45"/>
      <c r="H39" s="45"/>
      <c r="I39" s="45"/>
    </row>
    <row r="40" spans="2:9" ht="15.75" x14ac:dyDescent="0.2">
      <c r="B40" s="43"/>
      <c r="C40" s="44"/>
      <c r="D40" s="45"/>
      <c r="E40" s="45"/>
      <c r="F40" s="45"/>
      <c r="G40" s="45"/>
      <c r="H40" s="45"/>
      <c r="I40" s="45"/>
    </row>
    <row r="41" spans="2:9" ht="15.75" x14ac:dyDescent="0.2">
      <c r="B41" s="43"/>
      <c r="C41" s="44"/>
      <c r="D41" s="45"/>
      <c r="E41" s="45"/>
      <c r="F41" s="45"/>
      <c r="G41" s="45"/>
      <c r="H41" s="45"/>
      <c r="I41" s="45"/>
    </row>
    <row r="42" spans="2:9" ht="15.75" x14ac:dyDescent="0.2">
      <c r="B42" s="43"/>
      <c r="C42" s="44"/>
      <c r="D42" s="45"/>
      <c r="E42" s="45"/>
      <c r="F42" s="45"/>
      <c r="G42" s="45"/>
      <c r="H42" s="45"/>
      <c r="I42" s="45"/>
    </row>
    <row r="43" spans="2:9" ht="15.75" x14ac:dyDescent="0.2">
      <c r="B43" s="43"/>
      <c r="C43" s="44"/>
      <c r="D43" s="45"/>
      <c r="E43" s="45"/>
      <c r="F43" s="45"/>
      <c r="G43" s="45"/>
      <c r="H43" s="45"/>
      <c r="I43" s="45"/>
    </row>
  </sheetData>
  <mergeCells count="4">
    <mergeCell ref="D4:I4"/>
    <mergeCell ref="D5:I5"/>
    <mergeCell ref="D19:I19"/>
    <mergeCell ref="D20:I20"/>
  </mergeCells>
  <pageMargins left="0.75" right="0.75" top="1" bottom="1" header="0.5" footer="0.5"/>
  <pageSetup orientation="portrait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C1:O7"/>
  <sheetViews>
    <sheetView workbookViewId="0">
      <selection activeCell="K13" sqref="K13"/>
    </sheetView>
  </sheetViews>
  <sheetFormatPr defaultRowHeight="12.75" x14ac:dyDescent="0.2"/>
  <cols>
    <col min="1" max="3" width="7.28515625" style="34" customWidth="1"/>
    <col min="4" max="4" width="12.28515625" customWidth="1"/>
    <col min="6" max="6" width="11.28515625" customWidth="1"/>
    <col min="7" max="7" width="13.42578125" bestFit="1" customWidth="1"/>
    <col min="14" max="16384" width="9.140625" style="34"/>
  </cols>
  <sheetData>
    <row r="1" spans="3:15" x14ac:dyDescent="0.2"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3:15" x14ac:dyDescent="0.2">
      <c r="D2" s="46"/>
      <c r="E2" s="46"/>
      <c r="F2" s="46"/>
      <c r="G2" s="46"/>
      <c r="H2" s="46"/>
      <c r="I2" s="46"/>
      <c r="J2" s="46"/>
      <c r="K2" s="46"/>
      <c r="L2" s="46"/>
      <c r="M2" s="46"/>
    </row>
    <row r="3" spans="3:15" ht="33" customHeight="1" x14ac:dyDescent="0.2">
      <c r="D3" s="82" t="s">
        <v>38</v>
      </c>
      <c r="E3" s="83">
        <f>E4/100</f>
        <v>0.95</v>
      </c>
      <c r="F3" s="34"/>
      <c r="G3" s="46"/>
      <c r="H3" s="46"/>
      <c r="I3" s="46"/>
      <c r="J3" s="46"/>
      <c r="K3" s="46"/>
      <c r="L3" s="46"/>
      <c r="M3" s="46"/>
    </row>
    <row r="4" spans="3:15" ht="7.5" customHeight="1" x14ac:dyDescent="0.2">
      <c r="D4" s="34"/>
      <c r="E4" s="81">
        <v>95</v>
      </c>
      <c r="F4" s="34"/>
      <c r="G4" s="46"/>
      <c r="H4" s="46"/>
      <c r="I4" s="46"/>
      <c r="J4" s="46"/>
      <c r="K4" s="46"/>
      <c r="L4" s="46"/>
      <c r="M4" s="46"/>
    </row>
    <row r="5" spans="3:15" ht="22.5" customHeight="1" x14ac:dyDescent="0.25">
      <c r="D5" s="34"/>
      <c r="E5" s="34"/>
      <c r="F5" s="34"/>
      <c r="G5" s="46"/>
      <c r="H5" s="98" t="s">
        <v>28</v>
      </c>
      <c r="I5" s="99"/>
      <c r="J5" s="99"/>
      <c r="K5" s="99"/>
      <c r="L5" s="99"/>
      <c r="M5" s="100"/>
    </row>
    <row r="6" spans="3:15" ht="15.75" x14ac:dyDescent="0.25">
      <c r="D6" s="46"/>
      <c r="E6" s="46"/>
      <c r="F6" s="46"/>
      <c r="G6" s="46"/>
      <c r="H6" s="95" t="s">
        <v>6</v>
      </c>
      <c r="I6" s="96"/>
      <c r="J6" s="96"/>
      <c r="K6" s="96"/>
      <c r="L6" s="96"/>
      <c r="M6" s="97"/>
    </row>
    <row r="7" spans="3:15" ht="47.25" x14ac:dyDescent="0.25">
      <c r="C7" s="42"/>
      <c r="D7" s="36" t="s">
        <v>26</v>
      </c>
      <c r="E7" s="47" t="s">
        <v>29</v>
      </c>
      <c r="F7" s="47" t="s">
        <v>30</v>
      </c>
      <c r="G7" s="47" t="s">
        <v>31</v>
      </c>
      <c r="H7" s="38" t="s">
        <v>0</v>
      </c>
      <c r="I7" s="38" t="s">
        <v>1</v>
      </c>
      <c r="J7" s="38" t="s">
        <v>2</v>
      </c>
      <c r="K7" s="38" t="s">
        <v>3</v>
      </c>
      <c r="L7" s="38" t="s">
        <v>4</v>
      </c>
      <c r="M7" s="38" t="s">
        <v>5</v>
      </c>
      <c r="O7" s="48"/>
    </row>
  </sheetData>
  <mergeCells count="2">
    <mergeCell ref="H5:M5"/>
    <mergeCell ref="H6:M6"/>
  </mergeCells>
  <conditionalFormatting sqref="E3">
    <cfRule type="expression" dxfId="0" priority="1">
      <formula>($E$3&gt;$E$7)</formula>
    </cfRule>
  </conditionalFormatting>
  <pageMargins left="0.75" right="0.75" top="1" bottom="1" header="0.5" footer="0.5"/>
  <pageSetup orientation="portrait" horizontalDpi="4294967292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1" r:id="rId4" name="Spinner 5">
              <controlPr defaultSize="0" autoPict="0">
                <anchor moveWithCells="1" sizeWithCells="1">
                  <from>
                    <xdr:col>5</xdr:col>
                    <xdr:colOff>9525</xdr:colOff>
                    <xdr:row>1</xdr:row>
                    <xdr:rowOff>142875</xdr:rowOff>
                  </from>
                  <to>
                    <xdr:col>5</xdr:col>
                    <xdr:colOff>257175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Store CSL Evaluation</vt:lpstr>
      <vt:lpstr>Store Parameters</vt:lpstr>
      <vt:lpstr>All Store Base Stock Levels</vt:lpstr>
      <vt:lpstr>A_ltd</vt:lpstr>
      <vt:lpstr>A_stock</vt:lpstr>
      <vt:lpstr>All_Store_CSL_Table_Start</vt:lpstr>
      <vt:lpstr>B_ltd</vt:lpstr>
      <vt:lpstr>B_stock</vt:lpstr>
      <vt:lpstr>C_ltd</vt:lpstr>
      <vt:lpstr>C_stock</vt:lpstr>
      <vt:lpstr>CSL_current</vt:lpstr>
      <vt:lpstr>CSL_target</vt:lpstr>
      <vt:lpstr>CSL_target_ALL_STORES</vt:lpstr>
      <vt:lpstr>D_ltd</vt:lpstr>
      <vt:lpstr>D_stock</vt:lpstr>
      <vt:lpstr>Demand_Rate_Table</vt:lpstr>
      <vt:lpstr>E_ltd</vt:lpstr>
      <vt:lpstr>E_stock</vt:lpstr>
      <vt:lpstr>F_ltd</vt:lpstr>
      <vt:lpstr>F_stock</vt:lpstr>
      <vt:lpstr>Lead_Time_Table</vt:lpstr>
      <vt:lpstr>Next_Part</vt:lpstr>
      <vt:lpstr>Part_List</vt:lpstr>
      <vt:lpstr>Store_List</vt:lpstr>
      <vt:lpstr>Store_To_Evaluate</vt:lpstr>
      <vt:lpstr>Total_Inventory_Cost</vt:lpstr>
    </vt:vector>
  </TitlesOfParts>
  <Company>Cornell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Caggiano</dc:creator>
  <cp:lastModifiedBy>kec4</cp:lastModifiedBy>
  <dcterms:created xsi:type="dcterms:W3CDTF">2001-07-03T20:52:20Z</dcterms:created>
  <dcterms:modified xsi:type="dcterms:W3CDTF">2012-03-06T20:52:47Z</dcterms:modified>
</cp:coreProperties>
</file>
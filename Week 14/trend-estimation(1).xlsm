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120" yWindow="315" windowWidth="9420" windowHeight="4320"/>
  </bookViews>
  <sheets>
    <sheet name="Trend Estimation" sheetId="7" r:id="rId1"/>
  </sheets>
  <definedNames>
    <definedName name="Exp_Intercept_Annual">'Trend Estimation'!$AA$25</definedName>
    <definedName name="Exp_Slope_Annual">'Trend Estimation'!$Z$25</definedName>
    <definedName name="Intercept_Annual">'Trend Estimation'!$S$25</definedName>
    <definedName name="Slope_Annual">'Trend Estimation'!$R$25</definedName>
  </definedNames>
  <calcPr calcId="145621"/>
</workbook>
</file>

<file path=xl/calcChain.xml><?xml version="1.0" encoding="utf-8"?>
<calcChain xmlns="http://schemas.openxmlformats.org/spreadsheetml/2006/main">
  <c r="AA15" i="7" l="1"/>
  <c r="R15" i="7"/>
  <c r="D15" i="7" l="1"/>
  <c r="E15" i="7"/>
  <c r="F15" i="7"/>
  <c r="G15" i="7"/>
  <c r="H15" i="7"/>
  <c r="C15" i="7"/>
  <c r="Q15" i="7" l="1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16" i="7"/>
  <c r="K16" i="7" s="1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15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Y15" i="7"/>
  <c r="Z15" i="7"/>
  <c r="L9" i="7" l="1" a="1"/>
  <c r="L9" i="7" s="1"/>
  <c r="L8" i="7" a="1"/>
  <c r="L8" i="7" s="1"/>
  <c r="L7" i="7" l="1"/>
  <c r="Q34" i="7"/>
  <c r="Q35" i="7" s="1"/>
  <c r="Q36" i="7" s="1"/>
  <c r="Q37" i="7" s="1"/>
  <c r="Q38" i="7" s="1"/>
  <c r="Y34" i="7"/>
  <c r="Y35" i="7" s="1"/>
  <c r="Y36" i="7" s="1"/>
  <c r="Y37" i="7" s="1"/>
  <c r="Y38" i="7" s="1"/>
  <c r="X17" i="7" l="1"/>
  <c r="Y17" i="7" s="1"/>
  <c r="Z17" i="7" s="1"/>
  <c r="X19" i="7"/>
  <c r="X21" i="7"/>
  <c r="X16" i="7"/>
  <c r="P19" i="7"/>
  <c r="P21" i="7"/>
  <c r="P16" i="7"/>
  <c r="X18" i="7"/>
  <c r="X20" i="7"/>
  <c r="X22" i="7"/>
  <c r="P18" i="7"/>
  <c r="P20" i="7"/>
  <c r="P22" i="7"/>
  <c r="P17" i="7"/>
  <c r="Q16" i="7"/>
  <c r="Q17" i="7"/>
  <c r="Y16" i="7"/>
  <c r="Z16" i="7" s="1"/>
  <c r="Q18" i="7" l="1"/>
  <c r="Y18" i="7"/>
  <c r="Z18" i="7" s="1"/>
  <c r="Q19" i="7" l="1"/>
  <c r="Y19" i="7"/>
  <c r="Z19" i="7" s="1"/>
  <c r="Q20" i="7" l="1"/>
  <c r="Y20" i="7"/>
  <c r="Z20" i="7" s="1"/>
  <c r="Q22" i="7" l="1"/>
  <c r="Q21" i="7"/>
  <c r="Y22" i="7"/>
  <c r="Y21" i="7"/>
  <c r="R25" i="7" l="1" a="1"/>
  <c r="S25" i="7" s="1"/>
  <c r="R28" i="7"/>
  <c r="R29" i="7"/>
  <c r="Z21" i="7"/>
  <c r="Z22" i="7"/>
  <c r="S26" i="7" l="1"/>
  <c r="R26" i="7"/>
  <c r="R25" i="7"/>
  <c r="R35" i="7" s="1"/>
  <c r="Z25" i="7" a="1"/>
  <c r="Z28" i="7"/>
  <c r="Z29" i="7"/>
  <c r="R20" i="7" l="1"/>
  <c r="R16" i="7"/>
  <c r="R38" i="7"/>
  <c r="R22" i="7"/>
  <c r="R18" i="7"/>
  <c r="R36" i="7"/>
  <c r="R17" i="7"/>
  <c r="R19" i="7"/>
  <c r="R21" i="7"/>
  <c r="R34" i="7"/>
  <c r="R37" i="7"/>
  <c r="AA26" i="7"/>
  <c r="AA25" i="7"/>
  <c r="Z25" i="7"/>
  <c r="Z26" i="7"/>
  <c r="Z31" i="7" s="1"/>
  <c r="Z35" i="7" l="1"/>
  <c r="Z36" i="7"/>
  <c r="Z37" i="7"/>
  <c r="Z38" i="7"/>
  <c r="Z34" i="7"/>
  <c r="S17" i="7"/>
  <c r="S21" i="7"/>
  <c r="S22" i="7"/>
  <c r="S20" i="7"/>
  <c r="S18" i="7"/>
  <c r="S16" i="7"/>
  <c r="S19" i="7"/>
  <c r="Z30" i="7"/>
  <c r="AA22" i="7"/>
  <c r="AB22" i="7" s="1"/>
  <c r="AA21" i="7"/>
  <c r="AB21" i="7" s="1"/>
  <c r="AA17" i="7"/>
  <c r="AB17" i="7" s="1"/>
  <c r="AA19" i="7"/>
  <c r="AB19" i="7" s="1"/>
  <c r="AA16" i="7"/>
  <c r="AB16" i="7" s="1"/>
  <c r="AA18" i="7"/>
  <c r="AB18" i="7" s="1"/>
  <c r="AA20" i="7"/>
  <c r="AB20" i="7" s="1"/>
  <c r="S34" i="7" l="1"/>
  <c r="AA34" i="7"/>
</calcChain>
</file>

<file path=xl/sharedStrings.xml><?xml version="1.0" encoding="utf-8"?>
<sst xmlns="http://schemas.openxmlformats.org/spreadsheetml/2006/main" count="85" uniqueCount="69">
  <si>
    <t>R Square:</t>
  </si>
  <si>
    <t>G</t>
  </si>
  <si>
    <t>H</t>
  </si>
  <si>
    <t>Q1-2006</t>
  </si>
  <si>
    <t>Q2-2006</t>
  </si>
  <si>
    <t>Q3-2006</t>
  </si>
  <si>
    <t>Q4-2006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</si>
  <si>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</si>
  <si>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</si>
  <si>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</si>
  <si>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</si>
  <si>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</si>
  <si>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</si>
  <si>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</si>
  <si>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</si>
  <si>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Year</t>
  </si>
  <si>
    <t>Quarter-Year</t>
  </si>
  <si>
    <t>Time Period (t)</t>
  </si>
  <si>
    <t>Std Error of Yt:</t>
  </si>
  <si>
    <r>
      <t>Annual Growth Rate (e</t>
    </r>
    <r>
      <rPr>
        <b/>
        <i/>
        <vertAlign val="superscript"/>
        <sz val="12"/>
        <rFont val="Arial"/>
        <family val="2"/>
      </rPr>
      <t>b</t>
    </r>
    <r>
      <rPr>
        <b/>
        <sz val="12"/>
        <rFont val="Arial"/>
        <family val="2"/>
      </rPr>
      <t xml:space="preserve"> - 1):</t>
    </r>
  </si>
  <si>
    <t>Std Error of LN_Yt:</t>
  </si>
  <si>
    <t>Regression Coefficients:</t>
  </si>
  <si>
    <t>Std Error of Coefficients:</t>
  </si>
  <si>
    <t>Select Customer:</t>
  </si>
  <si>
    <t>Slope (b)</t>
  </si>
  <si>
    <t>Intercept (a)</t>
  </si>
  <si>
    <t>Approximate Std Error of Growth Rate:</t>
  </si>
  <si>
    <t>I</t>
  </si>
  <si>
    <t>J</t>
  </si>
  <si>
    <t>K</t>
  </si>
  <si>
    <t>Q4-2009</t>
  </si>
  <si>
    <t>Q1-2009</t>
  </si>
  <si>
    <t>Q2-2009</t>
  </si>
  <si>
    <t>Q3-2009</t>
  </si>
  <si>
    <t>First Year:</t>
  </si>
  <si>
    <t>Last Year:</t>
  </si>
  <si>
    <t>Prediction</t>
  </si>
  <si>
    <t>Years of Data:</t>
  </si>
  <si>
    <t>Annual Data -- Best Exponential Fit</t>
  </si>
  <si>
    <t>Annual Data -- Best Linear Fit</t>
  </si>
  <si>
    <t>Intercept (ln a)</t>
  </si>
  <si>
    <r>
      <t>Residual (</t>
    </r>
    <r>
      <rPr>
        <b/>
        <i/>
        <sz val="12"/>
        <rFont val="Arial"/>
        <family val="2"/>
      </rPr>
      <t>e</t>
    </r>
    <r>
      <rPr>
        <b/>
        <i/>
        <vertAlign val="subscript"/>
        <sz val="12"/>
        <rFont val="Arial"/>
        <family val="2"/>
      </rPr>
      <t>t</t>
    </r>
    <r>
      <rPr>
        <b/>
        <sz val="12"/>
        <rFont val="Arial"/>
        <family val="2"/>
      </rPr>
      <t>)</t>
    </r>
  </si>
  <si>
    <t>Std Error of Yt</t>
  </si>
  <si>
    <t>Years remaining until tank refurbishment:</t>
  </si>
  <si>
    <t>Current Tank:</t>
  </si>
  <si>
    <t>LA-6</t>
  </si>
  <si>
    <t>Distance:</t>
  </si>
  <si>
    <t>LA-3</t>
  </si>
  <si>
    <t>Customer Information</t>
  </si>
  <si>
    <t>Customer:</t>
  </si>
  <si>
    <t>LA-1</t>
  </si>
  <si>
    <t>Q1-2010</t>
  </si>
  <si>
    <t>Q2-2010</t>
  </si>
  <si>
    <t>Q3-2010</t>
  </si>
  <si>
    <t>Q4-2010</t>
  </si>
  <si>
    <t>L</t>
  </si>
  <si>
    <t>N/A</t>
  </si>
  <si>
    <t>Customer Historical Quarterly Demand (Gallons)</t>
  </si>
  <si>
    <t>Trend Estimation Area</t>
  </si>
  <si>
    <t>Selected Customer Demand</t>
  </si>
  <si>
    <t>Q1-2011</t>
  </si>
  <si>
    <t>Q2-2011</t>
  </si>
  <si>
    <t>Q3-2011</t>
  </si>
  <si>
    <t>Q4-2011</t>
  </si>
  <si>
    <t>Liquair-Pro Selected Customer Demand History</t>
  </si>
  <si>
    <t>Q1-2012</t>
  </si>
  <si>
    <t>Q2-2012</t>
  </si>
  <si>
    <t>Q3-2012</t>
  </si>
  <si>
    <t>Q4-2012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</si>
</sst>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%"/>
    <numFmt numFmtId="166" formatCode="0.00000"/>
  </numFmts>
  <fonts count="13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vertAlign val="superscript"/>
      <sz val="12"/>
      <name val="Arial"/>
      <family val="2"/>
    </font>
    <font>
      <b/>
      <sz val="14"/>
      <color indexed="8"/>
      <name val="Arial"/>
      <family val="2"/>
    </font>
    <font>
      <sz val="8"/>
      <name val="Arial"/>
      <family val="2"/>
    </font>
    <font>
      <b/>
      <sz val="14"/>
      <color indexed="8"/>
      <name val="Calibri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b/>
      <u/>
      <sz val="16"/>
      <name val="Arial"/>
      <family val="2"/>
    </font>
    <font>
      <b/>
      <sz val="16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0" fontId="0" fillId="0" borderId="0" xfId="0" applyFill="1" applyBorder="1"/>
    <xf numFmtId="38" fontId="8" fillId="0" borderId="0" xfId="0" applyNumberFormat="1" applyFont="1" applyFill="1" applyBorder="1" applyAlignment="1">
      <alignment horizontal="center" vertical="center"/>
    </xf>
    <xf numFmtId="9" fontId="8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/>
    <xf numFmtId="3" fontId="1" fillId="3" borderId="3" xfId="0" applyNumberFormat="1" applyFont="1" applyFill="1" applyBorder="1" applyAlignment="1">
      <alignment horizontal="center"/>
    </xf>
    <xf numFmtId="3" fontId="1" fillId="3" borderId="0" xfId="0" applyNumberFormat="1" applyFont="1" applyFill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3" fontId="1" fillId="2" borderId="3" xfId="0" applyNumberFormat="1" applyFont="1" applyFill="1" applyBorder="1" applyAlignment="1">
      <alignment horizontal="center"/>
    </xf>
    <xf numFmtId="3" fontId="1" fillId="2" borderId="4" xfId="0" applyNumberFormat="1" applyFon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2" borderId="4" xfId="0" applyNumberFormat="1" applyFill="1" applyBorder="1" applyAlignment="1">
      <alignment horizontal="center"/>
    </xf>
    <xf numFmtId="3" fontId="1" fillId="3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right" vertical="center"/>
    </xf>
    <xf numFmtId="164" fontId="1" fillId="2" borderId="8" xfId="0" applyNumberFormat="1" applyFon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0" fontId="2" fillId="6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2" fontId="2" fillId="2" borderId="11" xfId="0" applyNumberFormat="1" applyFont="1" applyFill="1" applyBorder="1" applyAlignment="1">
      <alignment horizontal="center" vertical="center"/>
    </xf>
    <xf numFmtId="3" fontId="2" fillId="6" borderId="1" xfId="0" applyNumberFormat="1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 vertical="center"/>
    </xf>
    <xf numFmtId="3" fontId="1" fillId="3" borderId="12" xfId="0" applyNumberFormat="1" applyFont="1" applyFill="1" applyBorder="1" applyAlignment="1">
      <alignment horizontal="center"/>
    </xf>
    <xf numFmtId="3" fontId="1" fillId="3" borderId="13" xfId="0" applyNumberFormat="1" applyFont="1" applyFill="1" applyBorder="1" applyAlignment="1">
      <alignment horizontal="center"/>
    </xf>
    <xf numFmtId="3" fontId="1" fillId="3" borderId="14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3" fontId="1" fillId="9" borderId="2" xfId="0" applyNumberFormat="1" applyFont="1" applyFill="1" applyBorder="1" applyAlignment="1">
      <alignment horizontal="center"/>
    </xf>
    <xf numFmtId="3" fontId="1" fillId="9" borderId="3" xfId="0" applyNumberFormat="1" applyFont="1" applyFill="1" applyBorder="1" applyAlignment="1">
      <alignment horizontal="center"/>
    </xf>
    <xf numFmtId="3" fontId="1" fillId="9" borderId="4" xfId="0" applyNumberFormat="1" applyFont="1" applyFill="1" applyBorder="1" applyAlignment="1">
      <alignment horizontal="center"/>
    </xf>
    <xf numFmtId="0" fontId="0" fillId="0" borderId="0" xfId="0" applyBorder="1"/>
    <xf numFmtId="165" fontId="2" fillId="0" borderId="0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166" fontId="2" fillId="6" borderId="1" xfId="0" applyNumberFormat="1" applyFont="1" applyFill="1" applyBorder="1" applyAlignment="1">
      <alignment horizontal="center" vertical="center"/>
    </xf>
    <xf numFmtId="2" fontId="2" fillId="6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/>
    </xf>
    <xf numFmtId="3" fontId="1" fillId="10" borderId="12" xfId="0" applyNumberFormat="1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 wrapText="1"/>
    </xf>
    <xf numFmtId="0" fontId="2" fillId="0" borderId="1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1" fillId="0" borderId="0" xfId="0" applyFont="1"/>
    <xf numFmtId="0" fontId="5" fillId="0" borderId="0" xfId="0" applyFont="1" applyFill="1" applyBorder="1" applyAlignment="1">
      <alignment horizontal="right" vertical="center"/>
    </xf>
    <xf numFmtId="0" fontId="12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CC"/>
      <color rgb="FFCCFFFF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Demand by Year</a:t>
            </a:r>
          </a:p>
        </c:rich>
      </c:tx>
      <c:layout>
        <c:manualLayout>
          <c:xMode val="edge"/>
          <c:yMode val="edge"/>
          <c:x val="0.39489742300569164"/>
          <c:y val="3.69457805493736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33968066941596"/>
          <c:y val="0.17241400045941802"/>
          <c:w val="0.86503240236851908"/>
          <c:h val="0.672414601791729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'Trend Estimation'!$AA$15</c:f>
              <c:strCache>
                <c:ptCount val="1"/>
                <c:pt idx="0">
                  <c:v>Fitted G (Yt_hat)</c:v>
                </c:pt>
              </c:strCache>
            </c:strRef>
          </c:tx>
          <c:xVal>
            <c:numRef>
              <c:f>'Trend Estimation'!$X$16:$X$22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xVal>
          <c:yVal>
            <c:numRef>
              <c:f>'Trend Estimation'!$AA$16:$AA$22</c:f>
              <c:numCache>
                <c:formatCode>#,##0</c:formatCode>
                <c:ptCount val="7"/>
                <c:pt idx="0">
                  <c:v>90825.111290566274</c:v>
                </c:pt>
                <c:pt idx="1">
                  <c:v>106190.11937988177</c:v>
                </c:pt>
                <c:pt idx="2">
                  <c:v>124154.44686699528</c:v>
                </c:pt>
                <c:pt idx="3">
                  <c:v>145157.82416353389</c:v>
                </c:pt>
                <c:pt idx="4">
                  <c:v>169714.37147526609</c:v>
                </c:pt>
                <c:pt idx="5">
                  <c:v>198425.18342514816</c:v>
                </c:pt>
                <c:pt idx="6">
                  <c:v>231993.04263423441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'Trend Estimation'!$Y$15</c:f>
              <c:strCache>
                <c:ptCount val="1"/>
                <c:pt idx="0">
                  <c:v>G Annual Demand (Yt)</c:v>
                </c:pt>
              </c:strCache>
            </c:strRef>
          </c:tx>
          <c:xVal>
            <c:numRef>
              <c:f>'Trend Estimation'!$X$16:$X$22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xVal>
          <c:yVal>
            <c:numRef>
              <c:f>'Trend Estimation'!$Y$16:$Y$22</c:f>
              <c:numCache>
                <c:formatCode>#,##0</c:formatCode>
                <c:ptCount val="7"/>
                <c:pt idx="0">
                  <c:v>95378</c:v>
                </c:pt>
                <c:pt idx="1">
                  <c:v>104966</c:v>
                </c:pt>
                <c:pt idx="2">
                  <c:v>121234</c:v>
                </c:pt>
                <c:pt idx="3">
                  <c:v>139029</c:v>
                </c:pt>
                <c:pt idx="4">
                  <c:v>167002</c:v>
                </c:pt>
                <c:pt idx="5">
                  <c:v>202708</c:v>
                </c:pt>
                <c:pt idx="6">
                  <c:v>237719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'Trend Estimation'!$Z$33</c:f>
              <c:strCache>
                <c:ptCount val="1"/>
                <c:pt idx="0">
                  <c:v>Prediction</c:v>
                </c:pt>
              </c:strCache>
            </c:strRef>
          </c:tx>
          <c:xVal>
            <c:numRef>
              <c:f>'Trend Estimation'!$Y$34:$Y$38</c:f>
              <c:numCache>
                <c:formatCode>General</c:formatCode>
                <c:ptCount val="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</c:numCache>
            </c:numRef>
          </c:xVal>
          <c:yVal>
            <c:numRef>
              <c:f>'Trend Estimation'!$Z$34:$Z$38</c:f>
              <c:numCache>
                <c:formatCode>#,##0</c:formatCode>
                <c:ptCount val="5"/>
                <c:pt idx="0">
                  <c:v>271239.62241915968</c:v>
                </c:pt>
                <c:pt idx="1">
                  <c:v>317125.59969344403</c:v>
                </c:pt>
                <c:pt idx="2">
                  <c:v>370774.17039577244</c:v>
                </c:pt>
                <c:pt idx="3">
                  <c:v>433498.54305538535</c:v>
                </c:pt>
                <c:pt idx="4">
                  <c:v>506834.08348146459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68352"/>
        <c:axId val="152870272"/>
      </c:scatterChart>
      <c:valAx>
        <c:axId val="152868352"/>
        <c:scaling>
          <c:orientation val="minMax"/>
          <c:max val="2017"/>
          <c:min val="2006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511348317972549"/>
              <c:y val="0.911331145285494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870272"/>
        <c:crosses val="autoZero"/>
        <c:crossBetween val="midCat"/>
        <c:majorUnit val="1"/>
        <c:minorUnit val="1"/>
      </c:valAx>
      <c:valAx>
        <c:axId val="152870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868352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Demand by Year</a:t>
            </a:r>
          </a:p>
        </c:rich>
      </c:tx>
      <c:layout>
        <c:manualLayout>
          <c:xMode val="edge"/>
          <c:yMode val="edge"/>
          <c:x val="0.40298418419579257"/>
          <c:y val="3.38655709204927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33968066941596"/>
          <c:y val="0.17241400045941813"/>
          <c:w val="0.86503240236851953"/>
          <c:h val="0.6724146017917295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'Trend Estimation'!$R$15</c:f>
              <c:strCache>
                <c:ptCount val="1"/>
                <c:pt idx="0">
                  <c:v>Fitted G (Yt_hat)</c:v>
                </c:pt>
              </c:strCache>
            </c:strRef>
          </c:tx>
          <c:xVal>
            <c:numRef>
              <c:f>'Trend Estimation'!$P$16:$P$22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xVal>
          <c:yVal>
            <c:numRef>
              <c:f>'Trend Estimation'!$R$16:$R$22</c:f>
              <c:numCache>
                <c:formatCode>#,##0</c:formatCode>
                <c:ptCount val="7"/>
                <c:pt idx="0">
                  <c:v>80975.67857142858</c:v>
                </c:pt>
                <c:pt idx="1">
                  <c:v>104842.64285714286</c:v>
                </c:pt>
                <c:pt idx="2">
                  <c:v>128709.60714285713</c:v>
                </c:pt>
                <c:pt idx="3">
                  <c:v>152576.57142857142</c:v>
                </c:pt>
                <c:pt idx="4">
                  <c:v>176443.53571428571</c:v>
                </c:pt>
                <c:pt idx="5">
                  <c:v>200310.49999999997</c:v>
                </c:pt>
                <c:pt idx="6">
                  <c:v>224177.46428571426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'Trend Estimation'!$Q$15</c:f>
              <c:strCache>
                <c:ptCount val="1"/>
                <c:pt idx="0">
                  <c:v>G Annual Demand (Yt)</c:v>
                </c:pt>
              </c:strCache>
            </c:strRef>
          </c:tx>
          <c:xVal>
            <c:numRef>
              <c:f>'Trend Estimation'!$P$16:$P$22</c:f>
              <c:numCache>
                <c:formatCode>General</c:formatCode>
                <c:ptCount val="7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</c:numCache>
            </c:numRef>
          </c:xVal>
          <c:yVal>
            <c:numRef>
              <c:f>'Trend Estimation'!$Q$16:$Q$22</c:f>
              <c:numCache>
                <c:formatCode>#,##0</c:formatCode>
                <c:ptCount val="7"/>
                <c:pt idx="0">
                  <c:v>95378</c:v>
                </c:pt>
                <c:pt idx="1">
                  <c:v>104966</c:v>
                </c:pt>
                <c:pt idx="2">
                  <c:v>121234</c:v>
                </c:pt>
                <c:pt idx="3">
                  <c:v>139029</c:v>
                </c:pt>
                <c:pt idx="4">
                  <c:v>167002</c:v>
                </c:pt>
                <c:pt idx="5">
                  <c:v>202708</c:v>
                </c:pt>
                <c:pt idx="6">
                  <c:v>237719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'Trend Estimation'!$R$33</c:f>
              <c:strCache>
                <c:ptCount val="1"/>
                <c:pt idx="0">
                  <c:v>Prediction</c:v>
                </c:pt>
              </c:strCache>
            </c:strRef>
          </c:tx>
          <c:xVal>
            <c:numRef>
              <c:f>'Trend Estimation'!$Q$34:$Q$38</c:f>
              <c:numCache>
                <c:formatCode>General</c:formatCode>
                <c:ptCount val="5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</c:numCache>
            </c:numRef>
          </c:xVal>
          <c:yVal>
            <c:numRef>
              <c:f>'Trend Estimation'!$R$34:$R$38</c:f>
              <c:numCache>
                <c:formatCode>#,##0</c:formatCode>
                <c:ptCount val="5"/>
                <c:pt idx="0">
                  <c:v>248044.42857142855</c:v>
                </c:pt>
                <c:pt idx="1">
                  <c:v>271911.39285714284</c:v>
                </c:pt>
                <c:pt idx="2">
                  <c:v>295778.35714285716</c:v>
                </c:pt>
                <c:pt idx="3">
                  <c:v>319645.32142857136</c:v>
                </c:pt>
                <c:pt idx="4">
                  <c:v>343512.28571428568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51264"/>
        <c:axId val="152653184"/>
      </c:scatterChart>
      <c:valAx>
        <c:axId val="152651264"/>
        <c:scaling>
          <c:orientation val="minMax"/>
          <c:max val="2017"/>
          <c:min val="2006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511348317972549"/>
              <c:y val="0.911331145285494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653184"/>
        <c:crosses val="autoZero"/>
        <c:crossBetween val="midCat"/>
        <c:majorUnit val="1"/>
        <c:minorUnit val="1"/>
      </c:valAx>
      <c:valAx>
        <c:axId val="15265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651264"/>
        <c:crosses val="autoZero"/>
        <c:crossBetween val="midCat"/>
      </c:valAx>
      <c:spPr>
        <a:solidFill>
          <a:schemeClr val="bg1">
            <a:lumMod val="8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t"/>
      <c:layout/>
      <c:overlay val="0"/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124239</xdr:colOff>
      <xdr:row>0</xdr:row>
      <xdr:rowOff>94571</xdr:rowOff>
    </xdr:from>
    <xdr:to>
      <xdr:col>27</xdr:col>
      <xdr:colOff>276087</xdr:colOff>
      <xdr:row>9</xdr:row>
      <xdr:rowOff>138045</xdr:rowOff>
    </xdr:to>
    <xdr:graphicFrame macro="">
      <xdr:nvGraphicFramePr>
        <xdr:cNvPr id="11282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95250</xdr:colOff>
      <xdr:row>0</xdr:row>
      <xdr:rowOff>95249</xdr:rowOff>
    </xdr:from>
    <xdr:to>
      <xdr:col>20</xdr:col>
      <xdr:colOff>13804</xdr:colOff>
      <xdr:row>10</xdr:row>
      <xdr:rowOff>285749</xdr:rowOff>
    </xdr:to>
    <xdr:graphicFrame macro="">
      <xdr:nvGraphicFramePr>
        <xdr:cNvPr id="4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485775</xdr:colOff>
          <xdr:row>10</xdr:row>
          <xdr:rowOff>0</xdr:rowOff>
        </xdr:from>
        <xdr:to>
          <xdr:col>26</xdr:col>
          <xdr:colOff>295275</xdr:colOff>
          <xdr:row>12</xdr:row>
          <xdr:rowOff>400049</xdr:rowOff>
        </xdr:to>
        <xdr:sp macro="" textlink="">
          <xdr:nvSpPr>
            <xdr:cNvPr id="11278" name="Object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438150</xdr:colOff>
          <xdr:row>11</xdr:row>
          <xdr:rowOff>38100</xdr:rowOff>
        </xdr:from>
        <xdr:to>
          <xdr:col>17</xdr:col>
          <xdr:colOff>904875</xdr:colOff>
          <xdr:row>12</xdr:row>
          <xdr:rowOff>161925</xdr:rowOff>
        </xdr:to>
        <xdr:sp macro="" textlink="">
          <xdr:nvSpPr>
            <xdr:cNvPr id="11285" name="Object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B63"/>
  <sheetViews>
    <sheetView tabSelected="1" zoomScale="70" zoomScaleNormal="70" workbookViewId="0">
      <selection activeCell="K7" sqref="K7"/>
    </sheetView>
  </sheetViews>
  <sheetFormatPr defaultRowHeight="12.75" x14ac:dyDescent="0.2"/>
  <cols>
    <col min="1" max="1" width="6.7109375" customWidth="1"/>
    <col min="2" max="2" width="22" customWidth="1"/>
    <col min="3" max="8" width="11.7109375" customWidth="1"/>
    <col min="9" max="9" width="23.7109375" customWidth="1"/>
    <col min="10" max="10" width="17" customWidth="1"/>
    <col min="11" max="11" width="14.5703125" customWidth="1"/>
    <col min="12" max="12" width="11.85546875" customWidth="1"/>
    <col min="13" max="14" width="6.28515625" customWidth="1"/>
    <col min="15" max="16" width="10.85546875" customWidth="1"/>
    <col min="17" max="17" width="11.85546875" customWidth="1"/>
    <col min="18" max="18" width="17.85546875" customWidth="1"/>
    <col min="19" max="19" width="15.42578125" customWidth="1"/>
    <col min="20" max="22" width="6.28515625" customWidth="1"/>
    <col min="23" max="23" width="11" customWidth="1"/>
    <col min="24" max="24" width="11.42578125" customWidth="1"/>
    <col min="25" max="25" width="13.140625" customWidth="1"/>
    <col min="26" max="26" width="14.5703125" customWidth="1"/>
    <col min="27" max="27" width="17.7109375" customWidth="1"/>
    <col min="28" max="28" width="12.140625" customWidth="1"/>
    <col min="30" max="30" width="13.42578125" customWidth="1"/>
    <col min="32" max="32" width="16.7109375" customWidth="1"/>
  </cols>
  <sheetData>
    <row r="1" spans="2:28" ht="15" customHeight="1" x14ac:dyDescent="0.2"/>
    <row r="3" spans="2:28" ht="20.25" x14ac:dyDescent="0.3">
      <c r="B3" s="65" t="s">
        <v>64</v>
      </c>
      <c r="J3" s="65" t="s">
        <v>58</v>
      </c>
    </row>
    <row r="4" spans="2:28" ht="39" customHeight="1" x14ac:dyDescent="0.2"/>
    <row r="5" spans="2:28" ht="20.25" x14ac:dyDescent="0.25">
      <c r="C5" s="68" t="s">
        <v>48</v>
      </c>
      <c r="D5" s="68"/>
      <c r="E5" s="68"/>
      <c r="F5" s="68"/>
      <c r="G5" s="68"/>
      <c r="H5" s="68"/>
      <c r="K5" s="66" t="s">
        <v>23</v>
      </c>
      <c r="L5" s="67" t="s">
        <v>1</v>
      </c>
    </row>
    <row r="6" spans="2:28" ht="30" customHeight="1" x14ac:dyDescent="0.2">
      <c r="B6" s="60" t="s">
        <v>49</v>
      </c>
      <c r="C6" s="61" t="s">
        <v>1</v>
      </c>
      <c r="D6" s="61" t="s">
        <v>2</v>
      </c>
      <c r="E6" s="61" t="s">
        <v>27</v>
      </c>
      <c r="F6" s="61" t="s">
        <v>28</v>
      </c>
      <c r="G6" s="61" t="s">
        <v>29</v>
      </c>
      <c r="H6" s="61" t="s">
        <v>55</v>
      </c>
    </row>
    <row r="7" spans="2:28" ht="40.5" customHeight="1" x14ac:dyDescent="0.2">
      <c r="B7" s="60" t="s">
        <v>46</v>
      </c>
      <c r="C7" s="59">
        <v>5</v>
      </c>
      <c r="D7" s="59">
        <v>10</v>
      </c>
      <c r="E7" s="59">
        <v>25</v>
      </c>
      <c r="F7" s="59">
        <v>10</v>
      </c>
      <c r="G7" s="59">
        <v>15</v>
      </c>
      <c r="H7" s="62">
        <v>20</v>
      </c>
      <c r="K7" s="32" t="s">
        <v>37</v>
      </c>
      <c r="L7" s="63">
        <f>IF(L9&lt;&gt;0,L9-L8+1,0)</f>
        <v>7</v>
      </c>
    </row>
    <row r="8" spans="2:28" ht="32.25" customHeight="1" x14ac:dyDescent="0.2">
      <c r="B8" s="60" t="s">
        <v>44</v>
      </c>
      <c r="C8" s="59" t="s">
        <v>45</v>
      </c>
      <c r="D8" s="59" t="s">
        <v>47</v>
      </c>
      <c r="E8" s="59" t="s">
        <v>47</v>
      </c>
      <c r="F8" s="59" t="s">
        <v>45</v>
      </c>
      <c r="G8" s="59" t="s">
        <v>50</v>
      </c>
      <c r="H8" s="62" t="s">
        <v>56</v>
      </c>
      <c r="K8" s="32" t="s">
        <v>34</v>
      </c>
      <c r="L8" s="64">
        <f t="array" ref="L8">MIN(IF($K$16:$K$43&gt;0,$L$16:$L$43,""))</f>
        <v>2006</v>
      </c>
    </row>
    <row r="9" spans="2:28" ht="42.75" customHeight="1" x14ac:dyDescent="0.2">
      <c r="B9" s="60" t="s">
        <v>43</v>
      </c>
      <c r="C9" s="59">
        <v>4</v>
      </c>
      <c r="D9" s="59">
        <v>1</v>
      </c>
      <c r="E9" s="59">
        <v>3</v>
      </c>
      <c r="F9" s="59">
        <v>1</v>
      </c>
      <c r="G9" s="59">
        <v>0</v>
      </c>
      <c r="H9" s="62">
        <v>0</v>
      </c>
      <c r="K9" s="32" t="s">
        <v>35</v>
      </c>
      <c r="L9" s="63">
        <f t="array" ref="L9">MAX(IF($K$16:$K$43&gt;0,$L$16:$L$43,""))</f>
        <v>2012</v>
      </c>
    </row>
    <row r="10" spans="2:28" ht="18.75" x14ac:dyDescent="0.3">
      <c r="B10" s="4"/>
      <c r="C10" s="15"/>
      <c r="D10" s="19"/>
      <c r="E10" s="19"/>
      <c r="F10" s="19"/>
      <c r="G10" s="19"/>
      <c r="H10" s="19"/>
      <c r="I10" s="19"/>
    </row>
    <row r="11" spans="2:28" ht="30.75" customHeight="1" x14ac:dyDescent="0.2"/>
    <row r="12" spans="2:28" ht="30.75" customHeight="1" x14ac:dyDescent="0.2"/>
    <row r="13" spans="2:28" ht="33.75" customHeight="1" x14ac:dyDescent="0.2"/>
    <row r="14" spans="2:28" ht="21" customHeight="1" x14ac:dyDescent="0.3">
      <c r="C14" s="68" t="s">
        <v>57</v>
      </c>
      <c r="D14" s="68"/>
      <c r="E14" s="68"/>
      <c r="F14" s="68"/>
      <c r="G14" s="68"/>
      <c r="H14" s="68"/>
      <c r="I14" s="12"/>
      <c r="J14" s="69" t="s">
        <v>59</v>
      </c>
      <c r="K14" s="70"/>
      <c r="L14" s="71"/>
      <c r="O14" s="69" t="s">
        <v>39</v>
      </c>
      <c r="P14" s="70"/>
      <c r="Q14" s="70"/>
      <c r="R14" s="70"/>
      <c r="S14" s="70"/>
      <c r="W14" s="69" t="s">
        <v>38</v>
      </c>
      <c r="X14" s="70"/>
      <c r="Y14" s="70"/>
      <c r="Z14" s="70"/>
      <c r="AA14" s="70"/>
      <c r="AB14" s="71"/>
    </row>
    <row r="15" spans="2:28" ht="63.75" x14ac:dyDescent="0.3">
      <c r="B15" s="51" t="s">
        <v>16</v>
      </c>
      <c r="C15" s="10" t="str">
        <f t="shared" ref="C15:H15" si="0">C6</f>
        <v>G</v>
      </c>
      <c r="D15" s="10" t="str">
        <f t="shared" si="0"/>
        <v>H</v>
      </c>
      <c r="E15" s="10" t="str">
        <f t="shared" si="0"/>
        <v>I</v>
      </c>
      <c r="F15" s="10" t="str">
        <f t="shared" si="0"/>
        <v>J</v>
      </c>
      <c r="G15" s="10" t="str">
        <f t="shared" si="0"/>
        <v>K</v>
      </c>
      <c r="H15" s="10" t="str">
        <f t="shared" si="0"/>
        <v>L</v>
      </c>
      <c r="I15" s="16"/>
      <c r="J15" s="51" t="s">
        <v>16</v>
      </c>
      <c r="K15" s="52" t="str">
        <f>$L$5&amp;" Quarterly Demand"</f>
        <v>G Quarterly Demand</v>
      </c>
      <c r="L15" s="10" t="s">
        <v>15</v>
      </c>
      <c r="O15" s="52" t="s">
        <v>17</v>
      </c>
      <c r="P15" s="51" t="s">
        <v>15</v>
      </c>
      <c r="Q15" s="52" t="str">
        <f>$L$5&amp;" Annual Demand (Yt)"</f>
        <v>G Annual Demand (Yt)</v>
      </c>
      <c r="R15" s="53" t="str">
        <f>"Fitted "&amp;$L$5&amp;" (Yt_hat)"</f>
        <v>Fitted G (Yt_hat)</v>
      </c>
      <c r="S15" s="53" t="s">
        <v>41</v>
      </c>
      <c r="W15" s="52" t="s">
        <v>17</v>
      </c>
      <c r="X15" s="51" t="s">
        <v>15</v>
      </c>
      <c r="Y15" s="52" t="str">
        <f>$L$5&amp;" Annual Demand (Yt)"</f>
        <v>G Annual Demand (Yt)</v>
      </c>
      <c r="Z15" s="52" t="str">
        <f>"LN_"&amp;$L$5&amp;" Annual Demand (LN_Yt)"</f>
        <v>LN_G Annual Demand (LN_Yt)</v>
      </c>
      <c r="AA15" s="53" t="str">
        <f>"Fitted "&amp;$L$5&amp;" (Yt_hat)"</f>
        <v>Fitted G (Yt_hat)</v>
      </c>
      <c r="AB15" s="53" t="s">
        <v>41</v>
      </c>
    </row>
    <row r="16" spans="2:28" ht="19.5" customHeight="1" x14ac:dyDescent="0.2">
      <c r="B16" s="8" t="s">
        <v>3</v>
      </c>
      <c r="C16" s="58">
        <v>23425</v>
      </c>
      <c r="D16" s="40"/>
      <c r="E16" s="40">
        <v>31237</v>
      </c>
      <c r="F16" s="40">
        <v>31995</v>
      </c>
      <c r="G16" s="40">
        <v>13353</v>
      </c>
      <c r="H16" s="45"/>
      <c r="I16" s="17"/>
      <c r="J16" s="6" t="str">
        <f t="shared" ref="J16:J43" si="1">B16</f>
        <v>Q1-2006</v>
      </c>
      <c r="K16" s="21">
        <f t="shared" ref="K16:K43" si="2">VLOOKUP(J16,$B$16:$H$43,MATCH($L$5,$B$15:$H$15,0),0)</f>
        <v>23425</v>
      </c>
      <c r="L16" s="7">
        <f t="shared" ref="L16:L43" si="3">VALUE(RIGHT(J16,4))</f>
        <v>2006</v>
      </c>
      <c r="O16" s="6">
        <v>1</v>
      </c>
      <c r="P16" s="43">
        <f>IF(O16&gt;$L$7,"",$L$8+O16-1)</f>
        <v>2006</v>
      </c>
      <c r="Q16" s="22">
        <f t="shared" ref="Q16:Q22" si="4">IF(O16&gt;$L$7,"",SUMIF($L$16:$L$43,P16,$K$16:$K$43))</f>
        <v>95378</v>
      </c>
      <c r="R16" s="22">
        <f t="shared" ref="R16:R22" ca="1" si="5">IF(O16&gt;$L$7,"",Intercept_Annual+Slope_Annual*O16)</f>
        <v>80975.67857142858</v>
      </c>
      <c r="S16" s="25">
        <f t="shared" ref="S16:S22" ca="1" si="6">IF(O16&gt;$L$7,"",Q16-R16)</f>
        <v>14402.32142857142</v>
      </c>
      <c r="W16" s="6">
        <v>1</v>
      </c>
      <c r="X16" s="43">
        <f>IF(W16&gt;$L$7,"",$L$8+W16-1)</f>
        <v>2006</v>
      </c>
      <c r="Y16" s="22">
        <f t="shared" ref="Y16:Y22" si="7">IF(W16&gt;$L$7,"",SUMIF($L$16:$L$43,X16,$K$16:$K$43))</f>
        <v>95378</v>
      </c>
      <c r="Z16" s="13">
        <f t="shared" ref="Z16:Z22" si="8">IF(W16&gt;$L$7,"",LN(Y16))</f>
        <v>11.465603222875815</v>
      </c>
      <c r="AA16" s="22">
        <f t="shared" ref="AA16:AA22" ca="1" si="9">IF(W16&gt;$L$7,"",EXP(Exp_Intercept_Annual)*EXP(Exp_Slope_Annual*W16))</f>
        <v>90825.111290566274</v>
      </c>
      <c r="AB16" s="25">
        <f t="shared" ref="AB16:AB22" ca="1" si="10">IF(W16&gt;$L$7,"",Y16-AA16)</f>
        <v>4552.888709433726</v>
      </c>
    </row>
    <row r="17" spans="2:28" ht="19.5" customHeight="1" x14ac:dyDescent="0.2">
      <c r="B17" s="8" t="s">
        <v>4</v>
      </c>
      <c r="C17" s="41">
        <v>26868</v>
      </c>
      <c r="D17" s="20"/>
      <c r="E17" s="20">
        <v>31061</v>
      </c>
      <c r="F17" s="20">
        <v>36878</v>
      </c>
      <c r="G17" s="20">
        <v>11838</v>
      </c>
      <c r="H17" s="46"/>
      <c r="I17" s="18"/>
      <c r="J17" s="8" t="str">
        <f t="shared" si="1"/>
        <v>Q2-2006</v>
      </c>
      <c r="K17" s="21">
        <f t="shared" si="2"/>
        <v>26868</v>
      </c>
      <c r="L17" s="7">
        <f t="shared" si="3"/>
        <v>2006</v>
      </c>
      <c r="O17" s="8">
        <v>2</v>
      </c>
      <c r="P17" s="44">
        <f>IF(O17&gt;$L$7,"",$L$8+O17-1)</f>
        <v>2007</v>
      </c>
      <c r="Q17" s="23">
        <f t="shared" si="4"/>
        <v>104966</v>
      </c>
      <c r="R17" s="23">
        <f t="shared" ca="1" si="5"/>
        <v>104842.64285714286</v>
      </c>
      <c r="S17" s="26">
        <f t="shared" ca="1" si="6"/>
        <v>123.35714285714494</v>
      </c>
      <c r="W17" s="8">
        <v>2</v>
      </c>
      <c r="X17" s="44">
        <f t="shared" ref="X17:X22" si="11">IF(W17&gt;$L$7,"",$L$8+W17-1)</f>
        <v>2007</v>
      </c>
      <c r="Y17" s="23">
        <f t="shared" si="7"/>
        <v>104966</v>
      </c>
      <c r="Z17" s="14">
        <f t="shared" si="8"/>
        <v>11.561391767178227</v>
      </c>
      <c r="AA17" s="23">
        <f t="shared" ca="1" si="9"/>
        <v>106190.11937988177</v>
      </c>
      <c r="AB17" s="26">
        <f t="shared" ca="1" si="10"/>
        <v>-1224.1193798817694</v>
      </c>
    </row>
    <row r="18" spans="2:28" ht="19.5" customHeight="1" x14ac:dyDescent="0.2">
      <c r="B18" s="8" t="s">
        <v>5</v>
      </c>
      <c r="C18" s="41">
        <v>22103</v>
      </c>
      <c r="D18" s="20"/>
      <c r="E18" s="20">
        <v>28032</v>
      </c>
      <c r="F18" s="20">
        <v>43034</v>
      </c>
      <c r="G18" s="20">
        <v>17175</v>
      </c>
      <c r="H18" s="46"/>
      <c r="J18" s="8" t="str">
        <f t="shared" si="1"/>
        <v>Q3-2006</v>
      </c>
      <c r="K18" s="21">
        <f t="shared" si="2"/>
        <v>22103</v>
      </c>
      <c r="L18" s="7">
        <f t="shared" si="3"/>
        <v>2006</v>
      </c>
      <c r="O18" s="8">
        <v>3</v>
      </c>
      <c r="P18" s="44">
        <f t="shared" ref="P18:P22" si="12">IF(O18&gt;$L$7,"",$L$8+O18-1)</f>
        <v>2008</v>
      </c>
      <c r="Q18" s="23">
        <f t="shared" si="4"/>
        <v>121234</v>
      </c>
      <c r="R18" s="23">
        <f t="shared" ca="1" si="5"/>
        <v>128709.60714285713</v>
      </c>
      <c r="S18" s="26">
        <f t="shared" ca="1" si="6"/>
        <v>-7475.6071428571304</v>
      </c>
      <c r="W18" s="8">
        <v>3</v>
      </c>
      <c r="X18" s="44">
        <f t="shared" si="11"/>
        <v>2008</v>
      </c>
      <c r="Y18" s="23">
        <f t="shared" si="7"/>
        <v>121234</v>
      </c>
      <c r="Z18" s="14">
        <f t="shared" si="8"/>
        <v>11.70547784132952</v>
      </c>
      <c r="AA18" s="23">
        <f t="shared" ca="1" si="9"/>
        <v>124154.44686699528</v>
      </c>
      <c r="AB18" s="26">
        <f t="shared" ca="1" si="10"/>
        <v>-2920.4468669952767</v>
      </c>
    </row>
    <row r="19" spans="2:28" ht="19.5" customHeight="1" x14ac:dyDescent="0.2">
      <c r="B19" s="8" t="s">
        <v>6</v>
      </c>
      <c r="C19" s="41">
        <v>22982</v>
      </c>
      <c r="D19" s="20"/>
      <c r="E19" s="20">
        <v>31120</v>
      </c>
      <c r="F19" s="20">
        <v>40049</v>
      </c>
      <c r="G19" s="20">
        <v>12042</v>
      </c>
      <c r="H19" s="46"/>
      <c r="J19" s="8" t="str">
        <f t="shared" si="1"/>
        <v>Q4-2006</v>
      </c>
      <c r="K19" s="21">
        <f t="shared" si="2"/>
        <v>22982</v>
      </c>
      <c r="L19" s="7">
        <f t="shared" si="3"/>
        <v>2006</v>
      </c>
      <c r="O19" s="8">
        <v>4</v>
      </c>
      <c r="P19" s="44">
        <f t="shared" si="12"/>
        <v>2009</v>
      </c>
      <c r="Q19" s="23">
        <f t="shared" si="4"/>
        <v>139029</v>
      </c>
      <c r="R19" s="23">
        <f t="shared" ca="1" si="5"/>
        <v>152576.57142857142</v>
      </c>
      <c r="S19" s="26">
        <f t="shared" ca="1" si="6"/>
        <v>-13547.57142857142</v>
      </c>
      <c r="W19" s="8">
        <v>4</v>
      </c>
      <c r="X19" s="44">
        <f t="shared" si="11"/>
        <v>2009</v>
      </c>
      <c r="Y19" s="23">
        <f t="shared" si="7"/>
        <v>139029</v>
      </c>
      <c r="Z19" s="14">
        <f t="shared" si="8"/>
        <v>11.842437823445497</v>
      </c>
      <c r="AA19" s="23">
        <f t="shared" ca="1" si="9"/>
        <v>145157.82416353389</v>
      </c>
      <c r="AB19" s="26">
        <f t="shared" ca="1" si="10"/>
        <v>-6128.8241635338927</v>
      </c>
    </row>
    <row r="20" spans="2:28" ht="19.5" customHeight="1" x14ac:dyDescent="0.2">
      <c r="B20" s="8" t="s">
        <v>7</v>
      </c>
      <c r="C20" s="41">
        <v>26864</v>
      </c>
      <c r="D20" s="20"/>
      <c r="E20" s="20">
        <v>28524</v>
      </c>
      <c r="F20" s="20">
        <v>49256</v>
      </c>
      <c r="G20" s="20">
        <v>16147</v>
      </c>
      <c r="H20" s="46"/>
      <c r="J20" s="8" t="str">
        <f t="shared" si="1"/>
        <v>Q1-2007</v>
      </c>
      <c r="K20" s="21">
        <f t="shared" si="2"/>
        <v>26864</v>
      </c>
      <c r="L20" s="7">
        <f t="shared" si="3"/>
        <v>2007</v>
      </c>
      <c r="O20" s="8">
        <v>5</v>
      </c>
      <c r="P20" s="44">
        <f t="shared" si="12"/>
        <v>2010</v>
      </c>
      <c r="Q20" s="23">
        <f t="shared" si="4"/>
        <v>167002</v>
      </c>
      <c r="R20" s="23">
        <f t="shared" ca="1" si="5"/>
        <v>176443.53571428571</v>
      </c>
      <c r="S20" s="26">
        <f t="shared" ca="1" si="6"/>
        <v>-9441.5357142857101</v>
      </c>
      <c r="W20" s="8">
        <v>5</v>
      </c>
      <c r="X20" s="44">
        <f t="shared" si="11"/>
        <v>2010</v>
      </c>
      <c r="Y20" s="23">
        <f t="shared" si="7"/>
        <v>167002</v>
      </c>
      <c r="Z20" s="14">
        <f t="shared" si="8"/>
        <v>12.025761067375084</v>
      </c>
      <c r="AA20" s="23">
        <f t="shared" ca="1" si="9"/>
        <v>169714.37147526609</v>
      </c>
      <c r="AB20" s="26">
        <f t="shared" ca="1" si="10"/>
        <v>-2712.371475266089</v>
      </c>
    </row>
    <row r="21" spans="2:28" ht="19.5" customHeight="1" x14ac:dyDescent="0.2">
      <c r="B21" s="8" t="s">
        <v>8</v>
      </c>
      <c r="C21" s="41">
        <v>25668</v>
      </c>
      <c r="D21" s="20"/>
      <c r="E21" s="20">
        <v>28785</v>
      </c>
      <c r="F21" s="20">
        <v>52826</v>
      </c>
      <c r="G21" s="20">
        <v>15742</v>
      </c>
      <c r="H21" s="46"/>
      <c r="J21" s="8" t="str">
        <f t="shared" si="1"/>
        <v>Q2-2007</v>
      </c>
      <c r="K21" s="21">
        <f t="shared" si="2"/>
        <v>25668</v>
      </c>
      <c r="L21" s="7">
        <f t="shared" si="3"/>
        <v>2007</v>
      </c>
      <c r="O21" s="8">
        <v>6</v>
      </c>
      <c r="P21" s="44">
        <f t="shared" si="12"/>
        <v>2011</v>
      </c>
      <c r="Q21" s="23">
        <f t="shared" si="4"/>
        <v>202708</v>
      </c>
      <c r="R21" s="23">
        <f t="shared" ca="1" si="5"/>
        <v>200310.49999999997</v>
      </c>
      <c r="S21" s="26">
        <f t="shared" ca="1" si="6"/>
        <v>2397.5000000000291</v>
      </c>
      <c r="W21" s="8">
        <v>6</v>
      </c>
      <c r="X21" s="44">
        <f t="shared" si="11"/>
        <v>2011</v>
      </c>
      <c r="Y21" s="23">
        <f t="shared" si="7"/>
        <v>202708</v>
      </c>
      <c r="Z21" s="14">
        <f t="shared" si="8"/>
        <v>12.219521798854178</v>
      </c>
      <c r="AA21" s="23">
        <f t="shared" ca="1" si="9"/>
        <v>198425.18342514816</v>
      </c>
      <c r="AB21" s="26">
        <f t="shared" ca="1" si="10"/>
        <v>4282.8165748518368</v>
      </c>
    </row>
    <row r="22" spans="2:28" ht="19.5" customHeight="1" x14ac:dyDescent="0.2">
      <c r="B22" s="8" t="s">
        <v>9</v>
      </c>
      <c r="C22" s="41">
        <v>22814</v>
      </c>
      <c r="D22" s="20"/>
      <c r="E22" s="20">
        <v>28589</v>
      </c>
      <c r="F22" s="20">
        <v>57771</v>
      </c>
      <c r="G22" s="20">
        <v>18688</v>
      </c>
      <c r="H22" s="46"/>
      <c r="J22" s="8" t="str">
        <f t="shared" si="1"/>
        <v>Q3-2007</v>
      </c>
      <c r="K22" s="21">
        <f t="shared" si="2"/>
        <v>22814</v>
      </c>
      <c r="L22" s="7">
        <f t="shared" si="3"/>
        <v>2007</v>
      </c>
      <c r="O22" s="9">
        <v>7</v>
      </c>
      <c r="P22" s="44">
        <f t="shared" si="12"/>
        <v>2012</v>
      </c>
      <c r="Q22" s="23">
        <f t="shared" si="4"/>
        <v>237719</v>
      </c>
      <c r="R22" s="24">
        <f t="shared" ca="1" si="5"/>
        <v>224177.46428571426</v>
      </c>
      <c r="S22" s="27">
        <f t="shared" ca="1" si="6"/>
        <v>13541.535714285739</v>
      </c>
      <c r="W22" s="9">
        <v>7</v>
      </c>
      <c r="X22" s="44">
        <f t="shared" si="11"/>
        <v>2012</v>
      </c>
      <c r="Y22" s="23">
        <f t="shared" si="7"/>
        <v>237719</v>
      </c>
      <c r="Z22" s="14">
        <f t="shared" si="8"/>
        <v>12.378844582842101</v>
      </c>
      <c r="AA22" s="24">
        <f t="shared" ca="1" si="9"/>
        <v>231993.04263423441</v>
      </c>
      <c r="AB22" s="27">
        <f t="shared" ca="1" si="10"/>
        <v>5725.9573657655856</v>
      </c>
    </row>
    <row r="23" spans="2:28" ht="19.5" customHeight="1" x14ac:dyDescent="0.2">
      <c r="B23" s="8" t="s">
        <v>10</v>
      </c>
      <c r="C23" s="41">
        <v>29620</v>
      </c>
      <c r="D23" s="20"/>
      <c r="E23" s="20">
        <v>30036</v>
      </c>
      <c r="F23" s="20">
        <v>63596</v>
      </c>
      <c r="G23" s="20">
        <v>20925</v>
      </c>
      <c r="H23" s="46"/>
      <c r="J23" s="8" t="str">
        <f t="shared" si="1"/>
        <v>Q4-2007</v>
      </c>
      <c r="K23" s="21">
        <f t="shared" si="2"/>
        <v>29620</v>
      </c>
      <c r="L23" s="7">
        <f t="shared" si="3"/>
        <v>2007</v>
      </c>
      <c r="Q23" s="48"/>
      <c r="R23" s="11"/>
      <c r="Y23" s="48"/>
      <c r="Z23" s="11"/>
    </row>
    <row r="24" spans="2:28" ht="19.5" customHeight="1" thickBot="1" x14ac:dyDescent="0.25">
      <c r="B24" s="8" t="s">
        <v>11</v>
      </c>
      <c r="C24" s="41">
        <v>28775</v>
      </c>
      <c r="D24" s="20"/>
      <c r="E24" s="20">
        <v>29584</v>
      </c>
      <c r="F24" s="20">
        <v>65074</v>
      </c>
      <c r="G24" s="20">
        <v>19114</v>
      </c>
      <c r="H24" s="46"/>
      <c r="J24" s="8" t="str">
        <f t="shared" si="1"/>
        <v>Q1-2008</v>
      </c>
      <c r="K24" s="21">
        <f t="shared" si="2"/>
        <v>28775</v>
      </c>
      <c r="L24" s="7">
        <f t="shared" si="3"/>
        <v>2008</v>
      </c>
      <c r="R24" s="1" t="s">
        <v>24</v>
      </c>
      <c r="S24" s="1" t="s">
        <v>25</v>
      </c>
      <c r="Z24" s="1" t="s">
        <v>24</v>
      </c>
      <c r="AA24" s="1" t="s">
        <v>40</v>
      </c>
    </row>
    <row r="25" spans="2:28" ht="19.5" customHeight="1" x14ac:dyDescent="0.2">
      <c r="B25" s="8" t="s">
        <v>12</v>
      </c>
      <c r="C25" s="41">
        <v>26339</v>
      </c>
      <c r="D25" s="20"/>
      <c r="E25" s="20">
        <v>30542</v>
      </c>
      <c r="F25" s="20">
        <v>64057</v>
      </c>
      <c r="G25" s="20">
        <v>17053</v>
      </c>
      <c r="H25" s="46"/>
      <c r="J25" s="8" t="str">
        <f t="shared" si="1"/>
        <v>Q2-2008</v>
      </c>
      <c r="K25" s="21">
        <f t="shared" si="2"/>
        <v>26339</v>
      </c>
      <c r="L25" s="7">
        <f t="shared" si="3"/>
        <v>2008</v>
      </c>
      <c r="Q25" s="29" t="s">
        <v>21</v>
      </c>
      <c r="R25" s="36">
        <f t="array" aca="1" ref="R25:S26" ca="1">LINEST(OFFSET($Q$16,0,0,$L$7,1),OFFSET($O$16,0,0,$L$7,1),TRUE,TRUE)</f>
        <v>23866.964285714283</v>
      </c>
      <c r="S25" s="37">
        <f ca="1"/>
        <v>57108.71428571429</v>
      </c>
      <c r="Y25" s="29" t="s">
        <v>21</v>
      </c>
      <c r="Z25" s="36">
        <f t="array" aca="1" ref="Z25:AA26" ca="1">LINEST(OFFSET($Z$16,0,0,$L$7,1),OFFSET($W$16,0,0,$L$7,1),TRUE,TRUE)</f>
        <v>0.15629526318915438</v>
      </c>
      <c r="AA25" s="37">
        <f ca="1"/>
        <v>11.260395819229156</v>
      </c>
    </row>
    <row r="26" spans="2:28" ht="19.5" customHeight="1" thickBot="1" x14ac:dyDescent="0.25">
      <c r="B26" s="8" t="s">
        <v>13</v>
      </c>
      <c r="C26" s="41">
        <v>34387</v>
      </c>
      <c r="D26" s="20"/>
      <c r="E26" s="20">
        <v>29781</v>
      </c>
      <c r="F26" s="20">
        <v>67419</v>
      </c>
      <c r="G26" s="20">
        <v>18624</v>
      </c>
      <c r="H26" s="46"/>
      <c r="J26" s="8" t="str">
        <f t="shared" si="1"/>
        <v>Q3-2008</v>
      </c>
      <c r="K26" s="21">
        <f t="shared" si="2"/>
        <v>34387</v>
      </c>
      <c r="L26" s="7">
        <f t="shared" si="3"/>
        <v>2008</v>
      </c>
      <c r="Q26" s="29" t="s">
        <v>22</v>
      </c>
      <c r="R26" s="30">
        <f ca="1"/>
        <v>2275.8471981072571</v>
      </c>
      <c r="S26" s="31">
        <f ca="1"/>
        <v>10177.898082740514</v>
      </c>
      <c r="Y26" s="29" t="s">
        <v>22</v>
      </c>
      <c r="Z26" s="30">
        <f ca="1"/>
        <v>6.6892683773304325E-3</v>
      </c>
      <c r="AA26" s="31">
        <f ca="1"/>
        <v>2.991531762290112E-2</v>
      </c>
    </row>
    <row r="27" spans="2:28" ht="19.5" customHeight="1" x14ac:dyDescent="0.2">
      <c r="B27" s="8" t="s">
        <v>14</v>
      </c>
      <c r="C27" s="41">
        <v>31733</v>
      </c>
      <c r="D27" s="20"/>
      <c r="E27" s="20">
        <v>35488</v>
      </c>
      <c r="F27" s="20">
        <v>70179</v>
      </c>
      <c r="G27" s="20">
        <v>20031</v>
      </c>
      <c r="H27" s="46"/>
      <c r="J27" s="8" t="str">
        <f t="shared" si="1"/>
        <v>Q4-2008</v>
      </c>
      <c r="K27" s="21">
        <f t="shared" si="2"/>
        <v>31733</v>
      </c>
      <c r="L27" s="7">
        <f t="shared" si="3"/>
        <v>2008</v>
      </c>
    </row>
    <row r="28" spans="2:28" ht="19.5" customHeight="1" x14ac:dyDescent="0.2">
      <c r="B28" s="8" t="s">
        <v>31</v>
      </c>
      <c r="C28" s="41">
        <v>28503</v>
      </c>
      <c r="D28" s="20">
        <v>38416</v>
      </c>
      <c r="E28" s="20">
        <v>29838</v>
      </c>
      <c r="F28" s="20">
        <v>72011</v>
      </c>
      <c r="G28" s="20">
        <v>20465</v>
      </c>
      <c r="H28" s="46">
        <v>36729</v>
      </c>
      <c r="J28" s="8" t="str">
        <f t="shared" si="1"/>
        <v>Q1-2009</v>
      </c>
      <c r="K28" s="21">
        <f t="shared" si="2"/>
        <v>28503</v>
      </c>
      <c r="L28" s="7">
        <f t="shared" si="3"/>
        <v>2009</v>
      </c>
      <c r="Q28" s="33" t="s">
        <v>0</v>
      </c>
      <c r="R28" s="34">
        <f ca="1">RSQ(OFFSET($Q$16,0,0,$L$7,1),OFFSET($O$16,0,0,$L$7,1))</f>
        <v>0.95651364495175806</v>
      </c>
      <c r="Y28" s="33" t="s">
        <v>0</v>
      </c>
      <c r="Z28" s="34">
        <f ca="1">RSQ(OFFSET($Z$16,0,0,$L$7,1),OFFSET($W$16,0,0,$L$7,1))</f>
        <v>0.9909243836638042</v>
      </c>
    </row>
    <row r="29" spans="2:28" ht="19.5" customHeight="1" x14ac:dyDescent="0.2">
      <c r="B29" s="8" t="s">
        <v>32</v>
      </c>
      <c r="C29" s="41">
        <v>35154</v>
      </c>
      <c r="D29" s="20">
        <v>37463</v>
      </c>
      <c r="E29" s="20">
        <v>33093</v>
      </c>
      <c r="F29" s="20">
        <v>69964</v>
      </c>
      <c r="G29" s="20">
        <v>21300</v>
      </c>
      <c r="H29" s="46">
        <v>38632</v>
      </c>
      <c r="J29" s="8" t="str">
        <f t="shared" si="1"/>
        <v>Q2-2009</v>
      </c>
      <c r="K29" s="21">
        <f t="shared" si="2"/>
        <v>35154</v>
      </c>
      <c r="L29" s="7">
        <f t="shared" si="3"/>
        <v>2009</v>
      </c>
      <c r="Q29" s="33" t="s">
        <v>18</v>
      </c>
      <c r="R29" s="55">
        <f ca="1">STEYX(OFFSET($Q$16,0,0,$L$7,1),OFFSET($O$16,0,0,$L$7,1))</f>
        <v>12042.651416349872</v>
      </c>
      <c r="Y29" s="33" t="s">
        <v>20</v>
      </c>
      <c r="Z29" s="54">
        <f ca="1">STEYX(OFFSET($Z$16,0,0,$L$7,1),OFFSET($W$16,0,0,$L$7,1))</f>
        <v>3.5396281158769735E-2</v>
      </c>
    </row>
    <row r="30" spans="2:28" ht="19.5" customHeight="1" x14ac:dyDescent="0.2">
      <c r="B30" s="8" t="s">
        <v>33</v>
      </c>
      <c r="C30" s="41">
        <v>37322</v>
      </c>
      <c r="D30" s="20">
        <v>31771</v>
      </c>
      <c r="E30" s="20">
        <v>34156</v>
      </c>
      <c r="F30" s="20">
        <v>75811</v>
      </c>
      <c r="G30" s="20">
        <v>20332</v>
      </c>
      <c r="H30" s="46">
        <v>38778</v>
      </c>
      <c r="J30" s="8" t="str">
        <f t="shared" si="1"/>
        <v>Q3-2009</v>
      </c>
      <c r="K30" s="21">
        <f t="shared" si="2"/>
        <v>37322</v>
      </c>
      <c r="L30" s="7">
        <f t="shared" si="3"/>
        <v>2009</v>
      </c>
      <c r="Q30" s="33"/>
      <c r="R30" s="49"/>
      <c r="Y30" s="32" t="s">
        <v>19</v>
      </c>
      <c r="Z30" s="35">
        <f ca="1">EXP(Exp_Slope_Annual)-1</f>
        <v>0.16917136539651478</v>
      </c>
    </row>
    <row r="31" spans="2:28" ht="19.5" customHeight="1" x14ac:dyDescent="0.2">
      <c r="B31" s="8" t="s">
        <v>30</v>
      </c>
      <c r="C31" s="41">
        <v>38050</v>
      </c>
      <c r="D31" s="20">
        <v>32337</v>
      </c>
      <c r="E31" s="20">
        <v>31649</v>
      </c>
      <c r="F31" s="20">
        <v>79130</v>
      </c>
      <c r="G31" s="20">
        <v>20606</v>
      </c>
      <c r="H31" s="46">
        <v>36458</v>
      </c>
      <c r="J31" s="8" t="str">
        <f t="shared" si="1"/>
        <v>Q4-2009</v>
      </c>
      <c r="K31" s="21">
        <f t="shared" si="2"/>
        <v>38050</v>
      </c>
      <c r="L31" s="7">
        <f t="shared" si="3"/>
        <v>2009</v>
      </c>
      <c r="Q31" s="33"/>
      <c r="R31" s="49"/>
      <c r="Y31" s="32" t="s">
        <v>26</v>
      </c>
      <c r="Z31" s="35">
        <f ca="1">EXP(Z26)-1</f>
        <v>6.7116915032614521E-3</v>
      </c>
    </row>
    <row r="32" spans="2:28" ht="19.5" customHeight="1" x14ac:dyDescent="0.2">
      <c r="B32" s="8" t="s">
        <v>51</v>
      </c>
      <c r="C32" s="41">
        <v>41256</v>
      </c>
      <c r="D32" s="20">
        <v>29894</v>
      </c>
      <c r="E32" s="20">
        <v>29999</v>
      </c>
      <c r="F32" s="20">
        <v>74980</v>
      </c>
      <c r="G32" s="20">
        <v>19656</v>
      </c>
      <c r="H32" s="46">
        <v>43956</v>
      </c>
      <c r="J32" s="8" t="str">
        <f t="shared" si="1"/>
        <v>Q1-2010</v>
      </c>
      <c r="K32" s="21">
        <f t="shared" si="2"/>
        <v>41256</v>
      </c>
      <c r="L32" s="7">
        <f t="shared" si="3"/>
        <v>2010</v>
      </c>
    </row>
    <row r="33" spans="2:27" ht="19.5" customHeight="1" x14ac:dyDescent="0.25">
      <c r="B33" s="8" t="s">
        <v>52</v>
      </c>
      <c r="C33" s="41">
        <v>40008</v>
      </c>
      <c r="D33" s="20">
        <v>24386</v>
      </c>
      <c r="E33" s="20">
        <v>30739</v>
      </c>
      <c r="F33" s="20">
        <v>71333</v>
      </c>
      <c r="G33" s="20">
        <v>24541</v>
      </c>
      <c r="H33" s="46">
        <v>44836</v>
      </c>
      <c r="J33" s="8" t="str">
        <f t="shared" si="1"/>
        <v>Q2-2010</v>
      </c>
      <c r="K33" s="21">
        <f t="shared" si="2"/>
        <v>40008</v>
      </c>
      <c r="L33" s="7">
        <f t="shared" si="3"/>
        <v>2010</v>
      </c>
      <c r="Q33" s="56" t="s">
        <v>15</v>
      </c>
      <c r="R33" s="56" t="s">
        <v>36</v>
      </c>
      <c r="S33" s="57" t="s">
        <v>42</v>
      </c>
      <c r="Y33" s="56" t="s">
        <v>15</v>
      </c>
      <c r="Z33" s="56" t="s">
        <v>36</v>
      </c>
      <c r="AA33" s="57" t="s">
        <v>42</v>
      </c>
    </row>
    <row r="34" spans="2:27" ht="19.5" customHeight="1" x14ac:dyDescent="0.25">
      <c r="B34" s="8" t="s">
        <v>53</v>
      </c>
      <c r="C34" s="41">
        <v>41288</v>
      </c>
      <c r="D34" s="20">
        <v>27992</v>
      </c>
      <c r="E34" s="20">
        <v>32021</v>
      </c>
      <c r="F34" s="20">
        <v>72629</v>
      </c>
      <c r="G34" s="20">
        <v>25190</v>
      </c>
      <c r="H34" s="46">
        <v>59683</v>
      </c>
      <c r="J34" s="8" t="str">
        <f t="shared" si="1"/>
        <v>Q3-2010</v>
      </c>
      <c r="K34" s="21">
        <f t="shared" si="2"/>
        <v>41288</v>
      </c>
      <c r="L34" s="7">
        <f t="shared" si="3"/>
        <v>2010</v>
      </c>
      <c r="Q34" s="50">
        <f>$L$9+1</f>
        <v>2013</v>
      </c>
      <c r="R34" s="38">
        <f ca="1">Intercept_Annual+Slope_Annual*($L$7+(Q34-$L$9))</f>
        <v>248044.42857142855</v>
      </c>
      <c r="S34" s="39">
        <f ca="1">SQRT(SUMPRODUCT(S16:S22,S16:S22)/($L$7-2))</f>
        <v>12042.651416349901</v>
      </c>
      <c r="Y34" s="50">
        <f>$L$9+1</f>
        <v>2013</v>
      </c>
      <c r="Z34" s="38">
        <f ca="1">EXP(Exp_Intercept_Annual)*EXP(Exp_Slope_Annual*($L$7+(Q34-$L$9)))</f>
        <v>271239.62241915968</v>
      </c>
      <c r="AA34" s="39">
        <f ca="1">SQRT(SUMPRODUCT(AB16:AB22,AB16:AB22)/($L$7-2))</f>
        <v>5035.9671161630631</v>
      </c>
    </row>
    <row r="35" spans="2:27" ht="19.5" customHeight="1" x14ac:dyDescent="0.25">
      <c r="B35" s="8" t="s">
        <v>54</v>
      </c>
      <c r="C35" s="41">
        <v>44450</v>
      </c>
      <c r="D35" s="20">
        <v>25262</v>
      </c>
      <c r="E35" s="20">
        <v>31029</v>
      </c>
      <c r="F35" s="20">
        <v>74107</v>
      </c>
      <c r="G35" s="20">
        <v>25917</v>
      </c>
      <c r="H35" s="46">
        <v>48014</v>
      </c>
      <c r="J35" s="8" t="str">
        <f t="shared" si="1"/>
        <v>Q4-2010</v>
      </c>
      <c r="K35" s="21">
        <f t="shared" si="2"/>
        <v>44450</v>
      </c>
      <c r="L35" s="7">
        <f t="shared" si="3"/>
        <v>2010</v>
      </c>
      <c r="Q35" s="50">
        <f>Q34+1</f>
        <v>2014</v>
      </c>
      <c r="R35" s="38">
        <f ca="1">Intercept_Annual+Slope_Annual*($L$7+(Q35-$L$9))</f>
        <v>271911.39285714284</v>
      </c>
      <c r="Y35" s="50">
        <f>Y34+1</f>
        <v>2014</v>
      </c>
      <c r="Z35" s="38">
        <f ca="1">EXP(Exp_Intercept_Annual)*EXP(Exp_Slope_Annual*($L$7+(Q35-$L$9)))</f>
        <v>317125.59969344403</v>
      </c>
    </row>
    <row r="36" spans="2:27" ht="19.5" customHeight="1" x14ac:dyDescent="0.25">
      <c r="B36" s="8" t="s">
        <v>60</v>
      </c>
      <c r="C36" s="41">
        <v>50183</v>
      </c>
      <c r="D36" s="20">
        <v>25637</v>
      </c>
      <c r="E36" s="20">
        <v>30713</v>
      </c>
      <c r="F36" s="20">
        <v>69476</v>
      </c>
      <c r="G36" s="20">
        <v>24668</v>
      </c>
      <c r="H36" s="46">
        <v>50286</v>
      </c>
      <c r="J36" s="8" t="str">
        <f t="shared" si="1"/>
        <v>Q1-2011</v>
      </c>
      <c r="K36" s="21">
        <f t="shared" si="2"/>
        <v>50183</v>
      </c>
      <c r="L36" s="7">
        <f t="shared" si="3"/>
        <v>2011</v>
      </c>
      <c r="Q36" s="50">
        <f t="shared" ref="Q36:Q38" si="13">Q35+1</f>
        <v>2015</v>
      </c>
      <c r="R36" s="38">
        <f ca="1">Intercept_Annual+Slope_Annual*($L$7+(Q36-$L$9))</f>
        <v>295778.35714285716</v>
      </c>
      <c r="Y36" s="50">
        <f t="shared" ref="Y36:Y38" si="14">Y35+1</f>
        <v>2015</v>
      </c>
      <c r="Z36" s="38">
        <f ca="1">EXP(Exp_Intercept_Annual)*EXP(Exp_Slope_Annual*($L$7+(Q36-$L$9)))</f>
        <v>370774.17039577244</v>
      </c>
    </row>
    <row r="37" spans="2:27" ht="19.5" customHeight="1" x14ac:dyDescent="0.25">
      <c r="B37" s="8" t="s">
        <v>61</v>
      </c>
      <c r="C37" s="41">
        <v>48983</v>
      </c>
      <c r="D37" s="20">
        <v>27038</v>
      </c>
      <c r="E37" s="20">
        <v>27234</v>
      </c>
      <c r="F37" s="20">
        <v>79389</v>
      </c>
      <c r="G37" s="20">
        <v>25592</v>
      </c>
      <c r="H37" s="46">
        <v>64555</v>
      </c>
      <c r="J37" s="8" t="str">
        <f t="shared" si="1"/>
        <v>Q2-2011</v>
      </c>
      <c r="K37" s="21">
        <f t="shared" si="2"/>
        <v>48983</v>
      </c>
      <c r="L37" s="7">
        <f t="shared" si="3"/>
        <v>2011</v>
      </c>
      <c r="Q37" s="50">
        <f t="shared" si="13"/>
        <v>2016</v>
      </c>
      <c r="R37" s="38">
        <f ca="1">Intercept_Annual+Slope_Annual*($L$7+(Q37-$L$9))</f>
        <v>319645.32142857136</v>
      </c>
      <c r="Y37" s="50">
        <f t="shared" si="14"/>
        <v>2016</v>
      </c>
      <c r="Z37" s="38">
        <f ca="1">EXP(Exp_Intercept_Annual)*EXP(Exp_Slope_Annual*($L$7+(Q37-$L$9)))</f>
        <v>433498.54305538535</v>
      </c>
    </row>
    <row r="38" spans="2:27" ht="19.5" customHeight="1" x14ac:dyDescent="0.25">
      <c r="B38" s="8" t="s">
        <v>62</v>
      </c>
      <c r="C38" s="41">
        <v>46195</v>
      </c>
      <c r="D38" s="20">
        <v>23558</v>
      </c>
      <c r="E38" s="20">
        <v>26538</v>
      </c>
      <c r="F38" s="20">
        <v>71798</v>
      </c>
      <c r="G38" s="20">
        <v>24451</v>
      </c>
      <c r="H38" s="46">
        <v>49314</v>
      </c>
      <c r="J38" s="8" t="str">
        <f t="shared" si="1"/>
        <v>Q3-2011</v>
      </c>
      <c r="K38" s="21">
        <f t="shared" si="2"/>
        <v>46195</v>
      </c>
      <c r="L38" s="7">
        <f t="shared" si="3"/>
        <v>2011</v>
      </c>
      <c r="Q38" s="50">
        <f t="shared" si="13"/>
        <v>2017</v>
      </c>
      <c r="R38" s="38">
        <f ca="1">Intercept_Annual+Slope_Annual*($L$7+(Q38-$L$9))</f>
        <v>343512.28571428568</v>
      </c>
      <c r="Y38" s="50">
        <f t="shared" si="14"/>
        <v>2017</v>
      </c>
      <c r="Z38" s="38">
        <f ca="1">EXP(Exp_Intercept_Annual)*EXP(Exp_Slope_Annual*($L$7+(Q38-$L$9)))</f>
        <v>506834.08348146459</v>
      </c>
    </row>
    <row r="39" spans="2:27" ht="19.5" customHeight="1" x14ac:dyDescent="0.2">
      <c r="B39" s="8" t="s">
        <v>63</v>
      </c>
      <c r="C39" s="41">
        <v>57347</v>
      </c>
      <c r="D39" s="20">
        <v>21124</v>
      </c>
      <c r="E39" s="20">
        <v>29986</v>
      </c>
      <c r="F39" s="20">
        <v>73769</v>
      </c>
      <c r="G39" s="20">
        <v>29195</v>
      </c>
      <c r="H39" s="46">
        <v>55938</v>
      </c>
      <c r="J39" s="8" t="str">
        <f t="shared" si="1"/>
        <v>Q4-2011</v>
      </c>
      <c r="K39" s="21">
        <f t="shared" si="2"/>
        <v>57347</v>
      </c>
      <c r="L39" s="7">
        <f t="shared" si="3"/>
        <v>2011</v>
      </c>
    </row>
    <row r="40" spans="2:27" ht="19.5" customHeight="1" x14ac:dyDescent="0.2">
      <c r="B40" s="8" t="s">
        <v>65</v>
      </c>
      <c r="C40" s="41">
        <v>52781</v>
      </c>
      <c r="D40" s="20">
        <v>30578</v>
      </c>
      <c r="E40" s="20">
        <v>26444</v>
      </c>
      <c r="F40" s="20">
        <v>74079</v>
      </c>
      <c r="G40" s="20">
        <v>28320</v>
      </c>
      <c r="H40" s="46">
        <v>61229</v>
      </c>
      <c r="J40" s="8" t="str">
        <f t="shared" si="1"/>
        <v>Q1-2012</v>
      </c>
      <c r="K40" s="21">
        <f t="shared" si="2"/>
        <v>52781</v>
      </c>
      <c r="L40" s="7">
        <f t="shared" si="3"/>
        <v>2012</v>
      </c>
    </row>
    <row r="41" spans="2:27" ht="19.5" customHeight="1" x14ac:dyDescent="0.2">
      <c r="B41" s="8" t="s">
        <v>66</v>
      </c>
      <c r="C41" s="41">
        <v>59245</v>
      </c>
      <c r="D41" s="20">
        <v>22212</v>
      </c>
      <c r="E41" s="20">
        <v>27067</v>
      </c>
      <c r="F41" s="20">
        <v>75515</v>
      </c>
      <c r="G41" s="20">
        <v>28869</v>
      </c>
      <c r="H41" s="46">
        <v>53243</v>
      </c>
      <c r="J41" s="8" t="str">
        <f t="shared" si="1"/>
        <v>Q2-2012</v>
      </c>
      <c r="K41" s="21">
        <f t="shared" si="2"/>
        <v>59245</v>
      </c>
      <c r="L41" s="7">
        <f t="shared" si="3"/>
        <v>2012</v>
      </c>
    </row>
    <row r="42" spans="2:27" ht="19.5" customHeight="1" x14ac:dyDescent="0.2">
      <c r="B42" s="8" t="s">
        <v>67</v>
      </c>
      <c r="C42" s="41">
        <v>62113</v>
      </c>
      <c r="D42" s="20">
        <v>19507</v>
      </c>
      <c r="E42" s="20">
        <v>30405</v>
      </c>
      <c r="F42" s="20">
        <v>74029</v>
      </c>
      <c r="G42" s="20">
        <v>29571</v>
      </c>
      <c r="H42" s="46">
        <v>64881</v>
      </c>
      <c r="J42" s="8" t="str">
        <f t="shared" si="1"/>
        <v>Q3-2012</v>
      </c>
      <c r="K42" s="21">
        <f t="shared" si="2"/>
        <v>62113</v>
      </c>
      <c r="L42" s="7">
        <f t="shared" si="3"/>
        <v>2012</v>
      </c>
    </row>
    <row r="43" spans="2:27" ht="19.5" customHeight="1" x14ac:dyDescent="0.2">
      <c r="B43" s="9" t="s">
        <v>68</v>
      </c>
      <c r="C43" s="42">
        <v>63580</v>
      </c>
      <c r="D43" s="28">
        <v>21545</v>
      </c>
      <c r="E43" s="28">
        <v>31949</v>
      </c>
      <c r="F43" s="28">
        <v>74543</v>
      </c>
      <c r="G43" s="28">
        <v>29304</v>
      </c>
      <c r="H43" s="47">
        <v>60845</v>
      </c>
      <c r="J43" s="9" t="str">
        <f t="shared" si="1"/>
        <v>Q4-2012</v>
      </c>
      <c r="K43" s="21">
        <f t="shared" si="2"/>
        <v>63580</v>
      </c>
      <c r="L43" s="7">
        <f t="shared" si="3"/>
        <v>2012</v>
      </c>
    </row>
    <row r="45" spans="2:27" x14ac:dyDescent="0.2">
      <c r="B45" s="5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2:27" x14ac:dyDescent="0.2">
      <c r="B46" s="5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2:27" x14ac:dyDescent="0.2">
      <c r="B47" s="5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2:27" x14ac:dyDescent="0.2">
      <c r="B48" s="5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2:25" x14ac:dyDescent="0.2">
      <c r="B49" s="5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2:25" x14ac:dyDescent="0.2">
      <c r="B50" s="5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2:25" x14ac:dyDescent="0.2">
      <c r="B51" s="5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2:25" x14ac:dyDescent="0.2">
      <c r="B52" s="5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2:25" x14ac:dyDescent="0.2">
      <c r="B53" s="5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2:25" x14ac:dyDescent="0.2">
      <c r="B54" s="5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2:25" x14ac:dyDescent="0.2">
      <c r="B55" s="5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2:25" x14ac:dyDescent="0.2">
      <c r="B56" s="5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2:25" x14ac:dyDescent="0.2">
      <c r="B57" s="5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2:25" x14ac:dyDescent="0.2">
      <c r="B58" s="5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62" spans="2:25" x14ac:dyDescent="0.2">
      <c r="C62" s="3"/>
    </row>
    <row r="63" spans="2:25" x14ac:dyDescent="0.2">
      <c r="C63" s="3"/>
    </row>
  </sheetData>
  <mergeCells count="5">
    <mergeCell ref="C5:H5"/>
    <mergeCell ref="C14:H14"/>
    <mergeCell ref="W14:AB14"/>
    <mergeCell ref="J14:L14"/>
    <mergeCell ref="O14:S14"/>
  </mergeCells>
  <phoneticPr fontId="6" type="noConversion"/>
  <dataValidations count="2">
    <dataValidation type="list" allowBlank="1" showInputMessage="1" showErrorMessage="1" sqref="L5">
      <formula1>$C$6:$H$6</formula1>
    </dataValidation>
    <dataValidation type="list" allowBlank="1" showInputMessage="1" showErrorMessage="1" sqref="K3:K4">
      <formula1>$C$15:$H$15</formula1>
    </dataValidation>
  </dataValidations>
  <pageMargins left="0.75" right="0.75" top="1" bottom="1" header="0.5" footer="0.5"/>
  <pageSetup orientation="portrait" verticalDpi="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1278" r:id="rId4">
          <objectPr defaultSize="0" autoPict="0" r:id="rId5">
            <anchor moveWithCells="1">
              <from>
                <xdr:col>24</xdr:col>
                <xdr:colOff>485775</xdr:colOff>
                <xdr:row>10</xdr:row>
                <xdr:rowOff>0</xdr:rowOff>
              </from>
              <to>
                <xdr:col>26</xdr:col>
                <xdr:colOff>295275</xdr:colOff>
                <xdr:row>12</xdr:row>
                <xdr:rowOff>400050</xdr:rowOff>
              </to>
            </anchor>
          </objectPr>
        </oleObject>
      </mc:Choice>
      <mc:Fallback>
        <oleObject progId="Equation.3" shapeId="11278" r:id="rId4"/>
      </mc:Fallback>
    </mc:AlternateContent>
    <mc:AlternateContent xmlns:mc="http://schemas.openxmlformats.org/markup-compatibility/2006">
      <mc:Choice Requires="x14">
        <oleObject progId="Equation.3" shapeId="11285" r:id="rId6">
          <objectPr defaultSize="0" autoPict="0" r:id="rId7">
            <anchor moveWithCells="1" sizeWithCells="1">
              <from>
                <xdr:col>15</xdr:col>
                <xdr:colOff>438150</xdr:colOff>
                <xdr:row>11</xdr:row>
                <xdr:rowOff>38100</xdr:rowOff>
              </from>
              <to>
                <xdr:col>17</xdr:col>
                <xdr:colOff>904875</xdr:colOff>
                <xdr:row>12</xdr:row>
                <xdr:rowOff>161925</xdr:rowOff>
              </to>
            </anchor>
          </objectPr>
        </oleObject>
      </mc:Choice>
      <mc:Fallback>
        <oleObject progId="Equation.3" shapeId="11285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Trend Estimation</vt:lpstr>
      <vt:lpstr>Exp_Intercept_Annual</vt:lpstr>
      <vt:lpstr>Exp_Slope_Annual</vt:lpstr>
      <vt:lpstr>Intercept_Annual</vt:lpstr>
      <vt:lpstr>Slope_Annual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J. Zappe, Ph.D.</dc:creator>
  <cp:lastModifiedBy>kec4</cp:lastModifiedBy>
  <dcterms:created xsi:type="dcterms:W3CDTF">1998-02-23T04:49:54Z</dcterms:created>
  <dcterms:modified xsi:type="dcterms:W3CDTF">2013-04-23T23:23:04Z</dcterms:modified>
</cp:coreProperties>
</file>
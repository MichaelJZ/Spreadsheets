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showPivotChartFilter="1" defaultThemeVersion="124226"/>
  <bookViews>
    <workbookView xWindow="360" yWindow="15" windowWidth="11340" windowHeight="6540" firstSheet="1" activeTab="1"/>
  </bookViews>
  <sheets>
    <sheet name="treeCalc_1" sheetId="2" state="veryHidden" r:id="rId1"/>
    <sheet name="Health Insurance Comparison" sheetId="1" r:id="rId2"/>
  </sheets>
  <definedNames>
    <definedName name="Anticipated_Annual_Expense">'Health Insurance Comparison'!$F$11</definedName>
    <definedName name="Cost_Threshold">'Health Insurance Comparison'!$R$24</definedName>
    <definedName name="Probabilities">'Health Insurance Comparison'!$P$6:$P$15</definedName>
    <definedName name="Threshold_Tolerance">'Health Insurance Comparison'!$R$26</definedName>
    <definedName name="treeList" hidden="1">"10000000000000000000000000000000000000000000000000000000000000000000000000000000000000000000000000000000000000000000000000000000000000000000000000000000000000000000000000000000000000000000000000000000"</definedName>
  </definedNames>
  <calcPr calcId="145621"/>
</workbook>
</file>

<file path=xl/calcChain.xml><?xml version="1.0" encoding="utf-8"?>
<calcChain xmlns="http://schemas.openxmlformats.org/spreadsheetml/2006/main">
  <c r="D30" i="1" l="1"/>
  <c r="E30" i="1"/>
  <c r="F30" i="1"/>
  <c r="C30" i="1"/>
  <c r="T32" i="1" l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R18" i="1"/>
  <c r="S18" i="1"/>
  <c r="T18" i="1"/>
  <c r="U18" i="1"/>
  <c r="R4" i="1"/>
  <c r="S4" i="1"/>
  <c r="T4" i="1"/>
  <c r="U4" i="1"/>
  <c r="C14" i="1"/>
  <c r="D14" i="1"/>
  <c r="E14" i="1"/>
  <c r="F14" i="1"/>
  <c r="P16" i="1"/>
  <c r="T25" i="1" l="1"/>
  <c r="J29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K11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O14" i="2"/>
  <c r="O13" i="2"/>
  <c r="O12" i="2"/>
  <c r="B11" i="2"/>
  <c r="O11" i="2"/>
  <c r="B2" i="2"/>
  <c r="A11" i="2"/>
  <c r="A12" i="2"/>
  <c r="A15" i="2"/>
  <c r="A16" i="2"/>
  <c r="A17" i="2"/>
  <c r="A18" i="2"/>
  <c r="A19" i="2"/>
  <c r="A20" i="2"/>
  <c r="A21" i="2"/>
  <c r="A22" i="2"/>
  <c r="A23" i="2"/>
  <c r="A24" i="2"/>
  <c r="A13" i="2"/>
  <c r="A25" i="2"/>
  <c r="A26" i="2"/>
  <c r="A27" i="2"/>
  <c r="A28" i="2"/>
  <c r="A29" i="2"/>
  <c r="A14" i="2"/>
  <c r="F2" i="2"/>
</calcChain>
</file>

<file path=xl/comments1.xml><?xml version="1.0" encoding="utf-8"?>
<comments xmlns="http://schemas.openxmlformats.org/spreadsheetml/2006/main">
  <authors>
    <author>kec4</author>
    <author xml:space="preserve"> </author>
  </authors>
  <commentList>
    <comment ref="Q5" authorId="0">
      <text>
        <r>
          <rPr>
            <b/>
            <sz val="12"/>
            <color indexed="81"/>
            <rFont val="Tahoma"/>
            <family val="2"/>
          </rPr>
          <t>kec4:</t>
        </r>
        <r>
          <rPr>
            <sz val="12"/>
            <color indexed="81"/>
            <rFont val="Tahoma"/>
            <family val="2"/>
          </rPr>
          <t xml:space="preserve">
The cells to the right contain formulas for a data table -- DO NOT ALTER OR DELETE.</t>
        </r>
      </text>
    </comment>
    <comment ref="B31" authorId="0">
      <text>
        <r>
          <rPr>
            <b/>
            <sz val="10"/>
            <color indexed="81"/>
            <rFont val="Tahoma"/>
            <family val="2"/>
          </rPr>
          <t>kec4:</t>
        </r>
        <r>
          <rPr>
            <sz val="10"/>
            <color indexed="81"/>
            <rFont val="Tahoma"/>
            <family val="2"/>
          </rPr>
          <t xml:space="preserve">
This row contain formulas for a data table -- DO NOT ALTER OR DELETE.</t>
        </r>
      </text>
    </comment>
    <comment ref="T31" authorId="1">
      <text>
        <r>
          <rPr>
            <b/>
            <sz val="10"/>
            <color indexed="81"/>
            <rFont val="Tahoma"/>
            <family val="2"/>
          </rPr>
          <t xml:space="preserve"> kec4:</t>
        </r>
        <r>
          <rPr>
            <sz val="10"/>
            <color indexed="81"/>
            <rFont val="Tahoma"/>
            <family val="2"/>
          </rPr>
          <t xml:space="preserve">
This cell contains a formula for a data table -- DO NOT ALTER OR DELETE.</t>
        </r>
      </text>
    </comment>
  </commentList>
</comments>
</file>

<file path=xl/sharedStrings.xml><?xml version="1.0" encoding="utf-8"?>
<sst xmlns="http://schemas.openxmlformats.org/spreadsheetml/2006/main" count="118" uniqueCount="69">
  <si>
    <t>Plan1</t>
  </si>
  <si>
    <t>Plan2</t>
  </si>
  <si>
    <t>Plan3</t>
  </si>
  <si>
    <t>Name</t>
  </si>
  <si>
    <t>SheetRef</t>
  </si>
  <si>
    <t>GenInfo</t>
  </si>
  <si>
    <t>FILEVER</t>
  </si>
  <si>
    <t>RETFUNC</t>
  </si>
  <si>
    <t>Def. Link</t>
  </si>
  <si>
    <t>EXT REFS</t>
  </si>
  <si>
    <t>Def. Form</t>
  </si>
  <si>
    <t>Highest#</t>
  </si>
  <si>
    <t>Kernel</t>
  </si>
  <si>
    <t>B.Name</t>
  </si>
  <si>
    <t>bformtype</t>
  </si>
  <si>
    <t>valformula</t>
  </si>
  <si>
    <t>pbformula</t>
  </si>
  <si>
    <t>distribution</t>
  </si>
  <si>
    <t>cumPayoffFunction</t>
  </si>
  <si>
    <t>link</t>
  </si>
  <si>
    <t>ENDNODEFORMULA</t>
  </si>
  <si>
    <t>VAL</t>
  </si>
  <si>
    <t>PB</t>
  </si>
  <si>
    <t>IntRefs</t>
  </si>
  <si>
    <t>RefRefs</t>
  </si>
  <si>
    <t>NodeNames</t>
  </si>
  <si>
    <t>=</t>
  </si>
  <si>
    <t>Medical Insurance</t>
  </si>
  <si>
    <t>0,1,1,0,0,Exponential,0,0,0,0,-1</t>
  </si>
  <si>
    <t>DEFAULT</t>
  </si>
  <si>
    <t>2,0,0,3,2,3,4,0,0,0</t>
  </si>
  <si>
    <t>Plan 1</t>
  </si>
  <si>
    <t>Plan 2</t>
  </si>
  <si>
    <t>Plan 3</t>
  </si>
  <si>
    <t>4,0,0,0,2,0,0</t>
  </si>
  <si>
    <t>1,0,0,5,5,6,7,8,9,1,0,0</t>
  </si>
  <si>
    <t>4,0,0,0,3,0,0</t>
  </si>
  <si>
    <t>1,0,0,5,14,13,12,11,10,1,0,0</t>
  </si>
  <si>
    <t>4,0,0,0,4,0,0</t>
  </si>
  <si>
    <t>1,0,0,5,19,18,17,16,15,1,0,0</t>
  </si>
  <si>
    <t>Deductible:</t>
  </si>
  <si>
    <t>Plan4</t>
  </si>
  <si>
    <t>Annual Expense</t>
  </si>
  <si>
    <t>Enter Anticipated Annual Health Care Expenses (to nearest $100):</t>
  </si>
  <si>
    <t>Health Insurance Plans</t>
  </si>
  <si>
    <t>Health Insurance Plan Comparison</t>
  </si>
  <si>
    <t>Enter Possible Values for Annual Health Care Expenses Below 
(to nearest $100)</t>
  </si>
  <si>
    <t>Total Must = 100% =&gt;</t>
  </si>
  <si>
    <t>Metric</t>
  </si>
  <si>
    <t>Step size =</t>
  </si>
  <si>
    <t>Start value =</t>
  </si>
  <si>
    <t>Annual Premium:</t>
  </si>
  <si>
    <t>Co-insurance:</t>
  </si>
  <si>
    <t>** Exclusive of annual premium</t>
  </si>
  <si>
    <t>Lowest Cost Plan</t>
  </si>
  <si>
    <t>Risk Analysis</t>
  </si>
  <si>
    <t>Total Annual Cost to Individual Under Each Plan</t>
  </si>
  <si>
    <t>Maximum Annual Cost of Plan:</t>
  </si>
  <si>
    <t>Average Annual Cost of Plan:</t>
  </si>
  <si>
    <t>Probability That Plan Has Lowest Cost in a Given Year:</t>
  </si>
  <si>
    <t>Probability That Plan Exceeds Cost Threshold in a Given Year:</t>
  </si>
  <si>
    <t>Enter Tolerance for Exceeding Cost Threshold:</t>
  </si>
  <si>
    <t>Cost Threshold</t>
  </si>
  <si>
    <t>Lowest Average Cost Plan Respecting Cost Threshold Tolerance</t>
  </si>
  <si>
    <t>Tolerance for Exceeding Cost Threshold</t>
  </si>
  <si>
    <t>Enter Cost Threshold for Individual:</t>
  </si>
  <si>
    <t>Enter Likelihood of Each Expense Level as %
Values must sum to 100%</t>
  </si>
  <si>
    <t>Lowest Cost Plan for Expense Level</t>
  </si>
  <si>
    <r>
      <t>Out-of-Pocket Limit</t>
    </r>
    <r>
      <rPr>
        <b/>
        <sz val="12"/>
        <color rgb="FF0000FF"/>
        <rFont val="Arial"/>
        <family val="2"/>
      </rPr>
      <t>**</t>
    </r>
    <r>
      <rPr>
        <b/>
        <sz val="12"/>
        <rFont val="Arial"/>
        <family val="2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</si>
</sst>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8" x14ac:knownFonts="1"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u/>
      <sz val="1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color theme="1"/>
      <name val="Arial"/>
      <family val="2"/>
    </font>
    <font>
      <b/>
      <u/>
      <sz val="14"/>
      <name val="Arial"/>
      <family val="2"/>
    </font>
    <font>
      <sz val="10"/>
      <name val="Arial"/>
      <family val="2"/>
    </font>
    <font>
      <b/>
      <sz val="12"/>
      <color rgb="FF0000FF"/>
      <name val="Arial"/>
      <family val="2"/>
    </font>
    <font>
      <b/>
      <i/>
      <sz val="10"/>
      <color rgb="FF0000FF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i/>
      <sz val="12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15">
    <xf numFmtId="0" fontId="0" fillId="0" borderId="0" xfId="0"/>
    <xf numFmtId="3" fontId="0" fillId="0" borderId="0" xfId="0" applyNumberFormat="1"/>
    <xf numFmtId="6" fontId="0" fillId="0" borderId="0" xfId="0" applyNumberFormat="1"/>
    <xf numFmtId="0" fontId="1" fillId="0" borderId="0" xfId="0" applyFont="1"/>
    <xf numFmtId="0" fontId="2" fillId="0" borderId="0" xfId="0" applyFont="1"/>
    <xf numFmtId="0" fontId="4" fillId="0" borderId="0" xfId="0" applyFont="1" applyAlignment="1"/>
    <xf numFmtId="164" fontId="1" fillId="2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164" fontId="1" fillId="3" borderId="2" xfId="0" applyNumberFormat="1" applyFont="1" applyFill="1" applyBorder="1" applyAlignment="1">
      <alignment horizontal="center" vertical="center"/>
    </xf>
    <xf numFmtId="164" fontId="1" fillId="3" borderId="3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0" fontId="1" fillId="9" borderId="1" xfId="0" applyNumberFormat="1" applyFont="1" applyFill="1" applyBorder="1" applyAlignment="1">
      <alignment horizontal="center" vertical="center"/>
    </xf>
    <xf numFmtId="10" fontId="4" fillId="0" borderId="0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0" fontId="4" fillId="8" borderId="1" xfId="0" applyNumberFormat="1" applyFont="1" applyFill="1" applyBorder="1" applyAlignment="1">
      <alignment horizontal="center" vertical="center"/>
    </xf>
    <xf numFmtId="165" fontId="3" fillId="7" borderId="1" xfId="0" applyNumberFormat="1" applyFont="1" applyFill="1" applyBorder="1" applyAlignment="1">
      <alignment horizontal="center" vertical="center"/>
    </xf>
    <xf numFmtId="10" fontId="3" fillId="7" borderId="1" xfId="1" applyNumberFormat="1" applyFont="1" applyFill="1" applyBorder="1" applyAlignment="1">
      <alignment horizontal="center" vertical="center"/>
    </xf>
    <xf numFmtId="10" fontId="1" fillId="9" borderId="1" xfId="1" applyNumberFormat="1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left"/>
    </xf>
    <xf numFmtId="0" fontId="2" fillId="8" borderId="14" xfId="0" applyFont="1" applyFill="1" applyBorder="1"/>
    <xf numFmtId="0" fontId="2" fillId="8" borderId="11" xfId="0" applyFont="1" applyFill="1" applyBorder="1"/>
    <xf numFmtId="10" fontId="1" fillId="0" borderId="8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1" xfId="0" applyNumberFormat="1" applyFont="1" applyBorder="1" applyAlignment="1">
      <alignment horizontal="center"/>
    </xf>
    <xf numFmtId="164" fontId="1" fillId="0" borderId="15" xfId="0" applyNumberFormat="1" applyFont="1" applyFill="1" applyBorder="1" applyAlignment="1">
      <alignment horizontal="center" vertical="center"/>
    </xf>
    <xf numFmtId="164" fontId="1" fillId="0" borderId="16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right"/>
    </xf>
    <xf numFmtId="0" fontId="1" fillId="8" borderId="15" xfId="0" applyFont="1" applyFill="1" applyBorder="1" applyAlignment="1">
      <alignment horizontal="right"/>
    </xf>
    <xf numFmtId="0" fontId="2" fillId="8" borderId="4" xfId="0" applyFont="1" applyFill="1" applyBorder="1"/>
    <xf numFmtId="0" fontId="2" fillId="8" borderId="16" xfId="0" applyFont="1" applyFill="1" applyBorder="1"/>
    <xf numFmtId="0" fontId="2" fillId="8" borderId="6" xfId="0" applyFont="1" applyFill="1" applyBorder="1"/>
    <xf numFmtId="0" fontId="2" fillId="8" borderId="17" xfId="0" applyFont="1" applyFill="1" applyBorder="1"/>
    <xf numFmtId="0" fontId="2" fillId="11" borderId="0" xfId="0" applyFont="1" applyFill="1"/>
    <xf numFmtId="0" fontId="2" fillId="11" borderId="1" xfId="0" applyFont="1" applyFill="1" applyBorder="1"/>
    <xf numFmtId="0" fontId="1" fillId="7" borderId="0" xfId="0" applyFont="1" applyFill="1" applyAlignment="1">
      <alignment horizontal="center" vertical="center"/>
    </xf>
    <xf numFmtId="0" fontId="5" fillId="0" borderId="0" xfId="0" applyFont="1" applyAlignment="1"/>
    <xf numFmtId="0" fontId="2" fillId="0" borderId="4" xfId="0" applyFont="1" applyBorder="1"/>
    <xf numFmtId="0" fontId="2" fillId="0" borderId="4" xfId="0" applyFont="1" applyBorder="1" applyAlignment="1">
      <alignment vertical="center"/>
    </xf>
    <xf numFmtId="0" fontId="1" fillId="0" borderId="4" xfId="0" applyFont="1" applyFill="1" applyBorder="1" applyAlignment="1">
      <alignment horizontal="center" vertical="center" wrapText="1"/>
    </xf>
    <xf numFmtId="164" fontId="2" fillId="0" borderId="4" xfId="0" applyNumberFormat="1" applyFont="1" applyFill="1" applyBorder="1" applyAlignment="1">
      <alignment horizontal="center"/>
    </xf>
    <xf numFmtId="0" fontId="9" fillId="0" borderId="0" xfId="0" applyFont="1" applyAlignment="1">
      <alignment horizontal="right" vertical="center"/>
    </xf>
    <xf numFmtId="0" fontId="1" fillId="8" borderId="4" xfId="0" applyFont="1" applyFill="1" applyBorder="1" applyAlignment="1">
      <alignment horizontal="right"/>
    </xf>
    <xf numFmtId="164" fontId="1" fillId="9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4" fillId="10" borderId="20" xfId="0" applyNumberFormat="1" applyFont="1" applyFill="1" applyBorder="1" applyAlignment="1">
      <alignment horizontal="center" vertical="center"/>
    </xf>
    <xf numFmtId="164" fontId="1" fillId="10" borderId="1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2" fillId="2" borderId="22" xfId="0" applyNumberFormat="1" applyFont="1" applyFill="1" applyBorder="1" applyAlignment="1">
      <alignment horizontal="center" vertical="center"/>
    </xf>
    <xf numFmtId="164" fontId="2" fillId="2" borderId="15" xfId="0" applyNumberFormat="1" applyFont="1" applyFill="1" applyBorder="1" applyAlignment="1">
      <alignment horizontal="center" vertical="center"/>
    </xf>
    <xf numFmtId="164" fontId="2" fillId="2" borderId="4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64" fontId="2" fillId="2" borderId="16" xfId="0" applyNumberFormat="1" applyFont="1" applyFill="1" applyBorder="1" applyAlignment="1">
      <alignment horizontal="center" vertical="center"/>
    </xf>
    <xf numFmtId="5" fontId="2" fillId="5" borderId="4" xfId="2" applyNumberFormat="1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164" fontId="1" fillId="0" borderId="3" xfId="0" applyNumberFormat="1" applyFont="1" applyFill="1" applyBorder="1" applyAlignment="1">
      <alignment horizontal="center" vertical="center"/>
    </xf>
    <xf numFmtId="164" fontId="1" fillId="0" borderId="5" xfId="0" applyNumberFormat="1" applyFont="1" applyFill="1" applyBorder="1" applyAlignment="1">
      <alignment horizontal="center" vertical="center"/>
    </xf>
    <xf numFmtId="164" fontId="1" fillId="0" borderId="7" xfId="0" applyNumberFormat="1" applyFont="1" applyFill="1" applyBorder="1" applyAlignment="1">
      <alignment horizontal="center" vertical="center"/>
    </xf>
    <xf numFmtId="164" fontId="1" fillId="3" borderId="7" xfId="0" applyNumberFormat="1" applyFont="1" applyFill="1" applyBorder="1" applyAlignment="1">
      <alignment horizontal="center" vertical="center"/>
    </xf>
    <xf numFmtId="164" fontId="1" fillId="3" borderId="15" xfId="0" applyNumberFormat="1" applyFont="1" applyFill="1" applyBorder="1" applyAlignment="1">
      <alignment horizontal="center" vertical="center"/>
    </xf>
    <xf numFmtId="9" fontId="1" fillId="3" borderId="16" xfId="0" applyNumberFormat="1" applyFont="1" applyFill="1" applyBorder="1" applyAlignment="1">
      <alignment horizontal="center" vertical="center"/>
    </xf>
    <xf numFmtId="164" fontId="1" fillId="3" borderId="17" xfId="0" applyNumberFormat="1" applyFont="1" applyFill="1" applyBorder="1" applyAlignment="1">
      <alignment horizontal="center" vertical="center"/>
    </xf>
    <xf numFmtId="9" fontId="1" fillId="3" borderId="5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right" vertical="top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5" fontId="2" fillId="5" borderId="2" xfId="2" applyNumberFormat="1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164" fontId="1" fillId="6" borderId="3" xfId="0" applyNumberFormat="1" applyFont="1" applyFill="1" applyBorder="1" applyAlignment="1">
      <alignment horizontal="center" vertical="center"/>
    </xf>
    <xf numFmtId="164" fontId="1" fillId="0" borderId="4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164" fontId="15" fillId="6" borderId="1" xfId="0" applyNumberFormat="1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64" fontId="15" fillId="6" borderId="1" xfId="0" applyNumberFormat="1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1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3" fillId="8" borderId="8" xfId="0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0" borderId="0" xfId="0" applyFont="1" applyFill="1"/>
  </cellXfs>
  <cellStyles count="3">
    <cellStyle name="Currency" xfId="2" builtinId="4"/>
    <cellStyle name="Normal" xfId="0" builtinId="0"/>
    <cellStyle name="Percent" xfId="1" builtinId="5"/>
  </cellStyles>
  <dxfs count="10"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ont>
        <b val="0"/>
        <i val="0"/>
      </font>
    </dxf>
    <dxf>
      <font>
        <b/>
        <i val="0"/>
      </font>
      <fill>
        <patternFill>
          <bgColor theme="3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008000"/>
      <color rgb="FF0000FF"/>
      <color rgb="FF66FF33"/>
      <color rgb="FF66FF66"/>
      <color rgb="FFCCFFFF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Scroll" dx="16" fmlaLink="$F$11" horiz="1" inc="100" max="10000" page="1000" val="1600"/>
</file>

<file path=xl/ctrlProps/ctrlProp2.xml><?xml version="1.0" encoding="utf-8"?>
<formControlPr xmlns="http://schemas.microsoft.com/office/spreadsheetml/2009/9/main" objectType="Spin" dx="16" fmlaLink="$R$24" inc="100" max="30000" page="10" val="100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38100</xdr:rowOff>
        </xdr:from>
        <xdr:to>
          <xdr:col>6</xdr:col>
          <xdr:colOff>28575</xdr:colOff>
          <xdr:row>11</xdr:row>
          <xdr:rowOff>257175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1076325</xdr:colOff>
          <xdr:row>23</xdr:row>
          <xdr:rowOff>0</xdr:rowOff>
        </xdr:from>
        <xdr:to>
          <xdr:col>18</xdr:col>
          <xdr:colOff>352425</xdr:colOff>
          <xdr:row>24</xdr:row>
          <xdr:rowOff>19050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13608</xdr:colOff>
          <xdr:row>25</xdr:row>
          <xdr:rowOff>-1</xdr:rowOff>
        </xdr:from>
        <xdr:to>
          <xdr:col>18</xdr:col>
          <xdr:colOff>381000</xdr:colOff>
          <xdr:row>26</xdr:row>
          <xdr:rowOff>13607</xdr:rowOff>
        </xdr:to>
        <xdr:sp macro="" textlink="">
          <xdr:nvSpPr>
            <xdr:cNvPr id="1048" name="SpinButton_Tolerance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"/>
  <sheetViews>
    <sheetView workbookViewId="0"/>
  </sheetViews>
  <sheetFormatPr defaultRowHeight="12.75" x14ac:dyDescent="0.2"/>
  <sheetData>
    <row r="1" spans="1:15" x14ac:dyDescent="0.2">
      <c r="A1" t="s">
        <v>3</v>
      </c>
      <c r="B1" t="s">
        <v>27</v>
      </c>
      <c r="E1" t="s">
        <v>6</v>
      </c>
      <c r="F1">
        <v>2</v>
      </c>
    </row>
    <row r="2" spans="1:15" x14ac:dyDescent="0.2">
      <c r="A2" t="s">
        <v>4</v>
      </c>
      <c r="B2" t="e">
        <f>'Health Insurance Comparison'!#REF!</f>
        <v>#REF!</v>
      </c>
      <c r="E2" t="s">
        <v>7</v>
      </c>
      <c r="F2" t="e">
        <f ca="1">_xll.PTreeEvaluate($B$3,$L$11:$L$29,$J$11:$J$29,$K$11:$K$29,$N$11:$N$29,$G$11:$G$29)</f>
        <v>#NAME?</v>
      </c>
    </row>
    <row r="3" spans="1:15" x14ac:dyDescent="0.2">
      <c r="A3" t="s">
        <v>5</v>
      </c>
      <c r="B3" t="s">
        <v>28</v>
      </c>
    </row>
    <row r="4" spans="1:15" x14ac:dyDescent="0.2">
      <c r="A4" t="s">
        <v>8</v>
      </c>
      <c r="B4" t="s">
        <v>26</v>
      </c>
    </row>
    <row r="5" spans="1:15" x14ac:dyDescent="0.2">
      <c r="A5" t="s">
        <v>9</v>
      </c>
      <c r="B5">
        <v>0</v>
      </c>
    </row>
    <row r="6" spans="1:15" x14ac:dyDescent="0.2">
      <c r="A6" t="s">
        <v>10</v>
      </c>
    </row>
    <row r="8" spans="1:15" x14ac:dyDescent="0.2">
      <c r="A8" t="s">
        <v>11</v>
      </c>
      <c r="B8">
        <v>19</v>
      </c>
    </row>
    <row r="10" spans="1:15" x14ac:dyDescent="0.2">
      <c r="A10" t="s">
        <v>12</v>
      </c>
      <c r="B10" t="s">
        <v>13</v>
      </c>
      <c r="C10" t="s">
        <v>14</v>
      </c>
      <c r="D10" t="s">
        <v>15</v>
      </c>
      <c r="E10" t="s">
        <v>16</v>
      </c>
      <c r="F10" t="s">
        <v>17</v>
      </c>
      <c r="G10" t="s">
        <v>18</v>
      </c>
      <c r="H10" t="s">
        <v>19</v>
      </c>
      <c r="I10" t="s">
        <v>20</v>
      </c>
      <c r="J10" t="s">
        <v>21</v>
      </c>
      <c r="K10" t="s">
        <v>22</v>
      </c>
      <c r="L10" t="s">
        <v>5</v>
      </c>
      <c r="M10" t="s">
        <v>23</v>
      </c>
      <c r="N10" t="s">
        <v>24</v>
      </c>
      <c r="O10" t="s">
        <v>25</v>
      </c>
    </row>
    <row r="11" spans="1:15" x14ac:dyDescent="0.2">
      <c r="A11" t="e">
        <f>'Health Insurance Comparison'!#REF!</f>
        <v>#REF!</v>
      </c>
      <c r="B11" t="str">
        <f>B1</f>
        <v>Medical Insurance</v>
      </c>
      <c r="C11">
        <v>0</v>
      </c>
      <c r="J11" t="e">
        <f>'Health Insurance Comparison'!#REF!</f>
        <v>#REF!</v>
      </c>
      <c r="K11" t="e">
        <f>'Health Insurance Comparison'!#REF!</f>
        <v>#REF!</v>
      </c>
      <c r="L11" t="s">
        <v>30</v>
      </c>
      <c r="M11">
        <v>0</v>
      </c>
      <c r="O11" t="e">
        <f>'Health Insurance Comparison'!#REF!</f>
        <v>#REF!</v>
      </c>
    </row>
    <row r="12" spans="1:15" x14ac:dyDescent="0.2">
      <c r="A12" t="e">
        <f>'Health Insurance Comparison'!#REF!</f>
        <v>#REF!</v>
      </c>
      <c r="B12" t="s">
        <v>31</v>
      </c>
      <c r="C12">
        <v>0</v>
      </c>
      <c r="I12" t="s">
        <v>29</v>
      </c>
      <c r="J12" s="1" t="e">
        <f>'Health Insurance Comparison'!#REF!</f>
        <v>#REF!</v>
      </c>
      <c r="L12" t="s">
        <v>35</v>
      </c>
      <c r="M12">
        <v>0</v>
      </c>
      <c r="O12" t="e">
        <f>'Health Insurance Comparison'!#REF!</f>
        <v>#REF!</v>
      </c>
    </row>
    <row r="13" spans="1:15" x14ac:dyDescent="0.2">
      <c r="A13" t="e">
        <f>'Health Insurance Comparison'!#REF!</f>
        <v>#REF!</v>
      </c>
      <c r="B13" t="s">
        <v>32</v>
      </c>
      <c r="C13">
        <v>0</v>
      </c>
      <c r="I13" t="s">
        <v>29</v>
      </c>
      <c r="J13" t="e">
        <f>'Health Insurance Comparison'!#REF!</f>
        <v>#REF!</v>
      </c>
      <c r="L13" t="s">
        <v>37</v>
      </c>
      <c r="M13">
        <v>0</v>
      </c>
      <c r="O13" t="e">
        <f>'Health Insurance Comparison'!#REF!</f>
        <v>#REF!</v>
      </c>
    </row>
    <row r="14" spans="1:15" x14ac:dyDescent="0.2">
      <c r="A14" t="e">
        <f>'Health Insurance Comparison'!#REF!</f>
        <v>#REF!</v>
      </c>
      <c r="B14" t="s">
        <v>33</v>
      </c>
      <c r="C14">
        <v>0</v>
      </c>
      <c r="I14" t="s">
        <v>29</v>
      </c>
      <c r="J14" t="e">
        <f>'Health Insurance Comparison'!#REF!</f>
        <v>#REF!</v>
      </c>
      <c r="L14" t="s">
        <v>39</v>
      </c>
      <c r="M14">
        <v>0</v>
      </c>
      <c r="O14" t="e">
        <f>'Health Insurance Comparison'!#REF!</f>
        <v>#REF!</v>
      </c>
    </row>
    <row r="15" spans="1:15" x14ac:dyDescent="0.2">
      <c r="A15" t="e">
        <f>'Health Insurance Comparison'!#REF!</f>
        <v>#REF!</v>
      </c>
      <c r="B15" s="2">
        <v>200</v>
      </c>
      <c r="C15">
        <v>0</v>
      </c>
      <c r="H15" t="s">
        <v>29</v>
      </c>
      <c r="I15" t="s">
        <v>29</v>
      </c>
      <c r="J15" t="e">
        <f>'Health Insurance Comparison'!#REF!</f>
        <v>#REF!</v>
      </c>
      <c r="K15" t="e">
        <f>'Health Insurance Comparison'!#REF!</f>
        <v>#REF!</v>
      </c>
      <c r="L15" t="s">
        <v>34</v>
      </c>
      <c r="M15">
        <v>0</v>
      </c>
    </row>
    <row r="16" spans="1:15" x14ac:dyDescent="0.2">
      <c r="A16" t="e">
        <f>'Health Insurance Comparison'!#REF!</f>
        <v>#REF!</v>
      </c>
      <c r="B16" s="2">
        <v>600</v>
      </c>
      <c r="C16">
        <v>0</v>
      </c>
      <c r="H16" t="s">
        <v>29</v>
      </c>
      <c r="I16" t="s">
        <v>29</v>
      </c>
      <c r="J16" t="e">
        <f>'Health Insurance Comparison'!#REF!</f>
        <v>#REF!</v>
      </c>
      <c r="K16" t="e">
        <f>'Health Insurance Comparison'!#REF!</f>
        <v>#REF!</v>
      </c>
      <c r="L16" t="s">
        <v>34</v>
      </c>
      <c r="M16">
        <v>0</v>
      </c>
    </row>
    <row r="17" spans="1:13" x14ac:dyDescent="0.2">
      <c r="A17" t="e">
        <f>'Health Insurance Comparison'!#REF!</f>
        <v>#REF!</v>
      </c>
      <c r="B17" s="2">
        <v>1000</v>
      </c>
      <c r="C17">
        <v>0</v>
      </c>
      <c r="H17" t="s">
        <v>29</v>
      </c>
      <c r="I17" t="s">
        <v>29</v>
      </c>
      <c r="J17" t="e">
        <f>'Health Insurance Comparison'!#REF!</f>
        <v>#REF!</v>
      </c>
      <c r="K17" t="e">
        <f>'Health Insurance Comparison'!#REF!</f>
        <v>#REF!</v>
      </c>
      <c r="L17" t="s">
        <v>34</v>
      </c>
      <c r="M17">
        <v>0</v>
      </c>
    </row>
    <row r="18" spans="1:13" x14ac:dyDescent="0.2">
      <c r="A18" t="e">
        <f>'Health Insurance Comparison'!#REF!</f>
        <v>#REF!</v>
      </c>
      <c r="B18" s="2">
        <v>5000</v>
      </c>
      <c r="C18">
        <v>0</v>
      </c>
      <c r="H18" t="s">
        <v>29</v>
      </c>
      <c r="I18" t="s">
        <v>29</v>
      </c>
      <c r="J18" t="e">
        <f>'Health Insurance Comparison'!#REF!</f>
        <v>#REF!</v>
      </c>
      <c r="K18" t="e">
        <f>'Health Insurance Comparison'!#REF!</f>
        <v>#REF!</v>
      </c>
      <c r="L18" t="s">
        <v>34</v>
      </c>
      <c r="M18">
        <v>0</v>
      </c>
    </row>
    <row r="19" spans="1:13" x14ac:dyDescent="0.2">
      <c r="A19" t="e">
        <f>'Health Insurance Comparison'!#REF!</f>
        <v>#REF!</v>
      </c>
      <c r="B19" s="2">
        <v>15000</v>
      </c>
      <c r="C19">
        <v>0</v>
      </c>
      <c r="H19" t="s">
        <v>29</v>
      </c>
      <c r="I19" t="s">
        <v>29</v>
      </c>
      <c r="J19" t="e">
        <f>'Health Insurance Comparison'!#REF!</f>
        <v>#REF!</v>
      </c>
      <c r="K19" t="e">
        <f>'Health Insurance Comparison'!#REF!</f>
        <v>#REF!</v>
      </c>
      <c r="L19" t="s">
        <v>34</v>
      </c>
      <c r="M19">
        <v>0</v>
      </c>
    </row>
    <row r="20" spans="1:13" x14ac:dyDescent="0.2">
      <c r="A20" t="e">
        <f>'Health Insurance Comparison'!#REF!</f>
        <v>#REF!</v>
      </c>
      <c r="B20">
        <v>15000</v>
      </c>
      <c r="C20">
        <v>0</v>
      </c>
      <c r="H20" t="s">
        <v>29</v>
      </c>
      <c r="I20" t="s">
        <v>29</v>
      </c>
      <c r="J20" t="e">
        <f>'Health Insurance Comparison'!#REF!</f>
        <v>#REF!</v>
      </c>
      <c r="K20" t="e">
        <f>'Health Insurance Comparison'!#REF!</f>
        <v>#REF!</v>
      </c>
      <c r="L20" t="s">
        <v>36</v>
      </c>
      <c r="M20">
        <v>0</v>
      </c>
    </row>
    <row r="21" spans="1:13" x14ac:dyDescent="0.2">
      <c r="A21" t="e">
        <f>'Health Insurance Comparison'!#REF!</f>
        <v>#REF!</v>
      </c>
      <c r="B21">
        <v>5000</v>
      </c>
      <c r="C21">
        <v>0</v>
      </c>
      <c r="H21" t="s">
        <v>29</v>
      </c>
      <c r="I21" t="s">
        <v>29</v>
      </c>
      <c r="J21" t="e">
        <f>'Health Insurance Comparison'!#REF!</f>
        <v>#REF!</v>
      </c>
      <c r="K21" t="e">
        <f>'Health Insurance Comparison'!#REF!</f>
        <v>#REF!</v>
      </c>
      <c r="L21" t="s">
        <v>36</v>
      </c>
      <c r="M21">
        <v>0</v>
      </c>
    </row>
    <row r="22" spans="1:13" x14ac:dyDescent="0.2">
      <c r="A22" t="e">
        <f>'Health Insurance Comparison'!#REF!</f>
        <v>#REF!</v>
      </c>
      <c r="B22">
        <v>1000</v>
      </c>
      <c r="C22">
        <v>0</v>
      </c>
      <c r="H22" t="s">
        <v>29</v>
      </c>
      <c r="I22" t="s">
        <v>29</v>
      </c>
      <c r="J22" t="e">
        <f>'Health Insurance Comparison'!#REF!</f>
        <v>#REF!</v>
      </c>
      <c r="K22" t="e">
        <f>'Health Insurance Comparison'!#REF!</f>
        <v>#REF!</v>
      </c>
      <c r="L22" t="s">
        <v>36</v>
      </c>
      <c r="M22">
        <v>0</v>
      </c>
    </row>
    <row r="23" spans="1:13" x14ac:dyDescent="0.2">
      <c r="A23" t="e">
        <f>'Health Insurance Comparison'!#REF!</f>
        <v>#REF!</v>
      </c>
      <c r="B23">
        <v>600</v>
      </c>
      <c r="C23">
        <v>0</v>
      </c>
      <c r="H23" t="s">
        <v>29</v>
      </c>
      <c r="I23" t="s">
        <v>29</v>
      </c>
      <c r="J23" t="e">
        <f>'Health Insurance Comparison'!#REF!</f>
        <v>#REF!</v>
      </c>
      <c r="K23" t="e">
        <f>'Health Insurance Comparison'!#REF!</f>
        <v>#REF!</v>
      </c>
      <c r="L23" t="s">
        <v>36</v>
      </c>
      <c r="M23">
        <v>0</v>
      </c>
    </row>
    <row r="24" spans="1:13" x14ac:dyDescent="0.2">
      <c r="A24" t="e">
        <f>'Health Insurance Comparison'!#REF!</f>
        <v>#REF!</v>
      </c>
      <c r="B24">
        <v>200</v>
      </c>
      <c r="C24">
        <v>0</v>
      </c>
      <c r="H24" t="s">
        <v>29</v>
      </c>
      <c r="I24" t="s">
        <v>29</v>
      </c>
      <c r="J24" t="e">
        <f>'Health Insurance Comparison'!#REF!</f>
        <v>#REF!</v>
      </c>
      <c r="K24" t="e">
        <f>'Health Insurance Comparison'!#REF!</f>
        <v>#REF!</v>
      </c>
      <c r="L24" t="s">
        <v>36</v>
      </c>
      <c r="M24">
        <v>0</v>
      </c>
    </row>
    <row r="25" spans="1:13" x14ac:dyDescent="0.2">
      <c r="A25" t="e">
        <f>'Health Insurance Comparison'!#REF!</f>
        <v>#REF!</v>
      </c>
      <c r="B25">
        <v>15000</v>
      </c>
      <c r="C25">
        <v>0</v>
      </c>
      <c r="H25" t="s">
        <v>29</v>
      </c>
      <c r="I25" t="s">
        <v>29</v>
      </c>
      <c r="J25" t="e">
        <f>'Health Insurance Comparison'!#REF!</f>
        <v>#REF!</v>
      </c>
      <c r="K25" t="e">
        <f>'Health Insurance Comparison'!#REF!</f>
        <v>#REF!</v>
      </c>
      <c r="L25" t="s">
        <v>38</v>
      </c>
      <c r="M25">
        <v>0</v>
      </c>
    </row>
    <row r="26" spans="1:13" x14ac:dyDescent="0.2">
      <c r="A26" t="e">
        <f>'Health Insurance Comparison'!#REF!</f>
        <v>#REF!</v>
      </c>
      <c r="B26">
        <v>5000</v>
      </c>
      <c r="C26">
        <v>0</v>
      </c>
      <c r="H26" t="s">
        <v>29</v>
      </c>
      <c r="I26" t="s">
        <v>29</v>
      </c>
      <c r="J26" t="e">
        <f>'Health Insurance Comparison'!#REF!</f>
        <v>#REF!</v>
      </c>
      <c r="K26" t="e">
        <f>'Health Insurance Comparison'!#REF!</f>
        <v>#REF!</v>
      </c>
      <c r="L26" t="s">
        <v>38</v>
      </c>
      <c r="M26">
        <v>0</v>
      </c>
    </row>
    <row r="27" spans="1:13" x14ac:dyDescent="0.2">
      <c r="A27" t="e">
        <f>'Health Insurance Comparison'!#REF!</f>
        <v>#REF!</v>
      </c>
      <c r="B27">
        <v>1000</v>
      </c>
      <c r="C27">
        <v>0</v>
      </c>
      <c r="H27" t="s">
        <v>29</v>
      </c>
      <c r="I27" t="s">
        <v>29</v>
      </c>
      <c r="J27" t="e">
        <f>'Health Insurance Comparison'!#REF!</f>
        <v>#REF!</v>
      </c>
      <c r="K27" t="e">
        <f>'Health Insurance Comparison'!#REF!</f>
        <v>#REF!</v>
      </c>
      <c r="L27" t="s">
        <v>38</v>
      </c>
      <c r="M27">
        <v>0</v>
      </c>
    </row>
    <row r="28" spans="1:13" x14ac:dyDescent="0.2">
      <c r="A28" t="e">
        <f>'Health Insurance Comparison'!#REF!</f>
        <v>#REF!</v>
      </c>
      <c r="B28">
        <v>600</v>
      </c>
      <c r="C28">
        <v>0</v>
      </c>
      <c r="H28" t="s">
        <v>29</v>
      </c>
      <c r="I28" t="s">
        <v>29</v>
      </c>
      <c r="J28" t="e">
        <f>'Health Insurance Comparison'!#REF!</f>
        <v>#REF!</v>
      </c>
      <c r="K28" t="e">
        <f>'Health Insurance Comparison'!#REF!</f>
        <v>#REF!</v>
      </c>
      <c r="L28" t="s">
        <v>38</v>
      </c>
      <c r="M28">
        <v>0</v>
      </c>
    </row>
    <row r="29" spans="1:13" x14ac:dyDescent="0.2">
      <c r="A29" t="e">
        <f>'Health Insurance Comparison'!#REF!</f>
        <v>#REF!</v>
      </c>
      <c r="B29">
        <v>200</v>
      </c>
      <c r="C29">
        <v>0</v>
      </c>
      <c r="H29" t="s">
        <v>29</v>
      </c>
      <c r="I29" t="s">
        <v>29</v>
      </c>
      <c r="J29" t="e">
        <f>'Health Insurance Comparison'!#REF!</f>
        <v>#REF!</v>
      </c>
      <c r="K29" t="e">
        <f>'Health Insurance Comparison'!#REF!</f>
        <v>#REF!</v>
      </c>
      <c r="L29" t="s">
        <v>38</v>
      </c>
      <c r="M29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O182"/>
  <sheetViews>
    <sheetView showGridLines="0" tabSelected="1" zoomScale="70" zoomScaleNormal="70" workbookViewId="0"/>
  </sheetViews>
  <sheetFormatPr defaultRowHeight="15" x14ac:dyDescent="0.2"/>
  <cols>
    <col min="1" max="1" width="24" style="4" customWidth="1"/>
    <col min="2" max="2" width="15.42578125" style="4" customWidth="1"/>
    <col min="3" max="6" width="16.85546875" style="4" customWidth="1"/>
    <col min="7" max="8" width="15.5703125" style="4" customWidth="1"/>
    <col min="9" max="12" width="9.85546875" style="4" customWidth="1"/>
    <col min="13" max="13" width="10.7109375" style="4" customWidth="1"/>
    <col min="14" max="14" width="8" style="47" customWidth="1"/>
    <col min="15" max="15" width="27.5703125" style="4" customWidth="1"/>
    <col min="16" max="16" width="19.42578125" style="4" customWidth="1"/>
    <col min="17" max="17" width="17.5703125" style="4" customWidth="1"/>
    <col min="18" max="21" width="16.28515625" style="4" customWidth="1"/>
    <col min="22" max="23" width="13.42578125" style="4" customWidth="1"/>
    <col min="24" max="41" width="9" style="4" customWidth="1"/>
    <col min="42" max="16384" width="9.140625" style="4"/>
  </cols>
  <sheetData>
    <row r="1" spans="1:23" ht="34.5" customHeight="1" x14ac:dyDescent="0.35">
      <c r="C1" s="100" t="s">
        <v>45</v>
      </c>
      <c r="D1" s="100"/>
      <c r="E1" s="100"/>
      <c r="F1" s="100"/>
      <c r="G1" s="5"/>
      <c r="P1" s="46" t="s">
        <v>55</v>
      </c>
      <c r="Q1" s="46"/>
      <c r="R1" s="46"/>
    </row>
    <row r="3" spans="1:23" ht="29.25" customHeight="1" x14ac:dyDescent="0.25">
      <c r="A3" s="3"/>
      <c r="C3" s="101" t="s">
        <v>44</v>
      </c>
      <c r="D3" s="102"/>
      <c r="E3" s="102"/>
      <c r="F3" s="103"/>
      <c r="P3" s="108" t="s">
        <v>66</v>
      </c>
      <c r="Q3" s="107" t="s">
        <v>46</v>
      </c>
      <c r="R3" s="89" t="s">
        <v>56</v>
      </c>
      <c r="S3" s="90"/>
      <c r="T3" s="90"/>
      <c r="U3" s="91"/>
    </row>
    <row r="4" spans="1:23" ht="35.25" customHeight="1" x14ac:dyDescent="0.2">
      <c r="C4" s="17" t="s">
        <v>0</v>
      </c>
      <c r="D4" s="17" t="s">
        <v>1</v>
      </c>
      <c r="E4" s="17" t="s">
        <v>2</v>
      </c>
      <c r="F4" s="17" t="s">
        <v>41</v>
      </c>
      <c r="P4" s="108"/>
      <c r="Q4" s="107"/>
      <c r="R4" s="22" t="str">
        <f>C4</f>
        <v>Plan1</v>
      </c>
      <c r="S4" s="17" t="str">
        <f>D4</f>
        <v>Plan2</v>
      </c>
      <c r="T4" s="17" t="str">
        <f>E4</f>
        <v>Plan3</v>
      </c>
      <c r="U4" s="18" t="str">
        <f>F4</f>
        <v>Plan4</v>
      </c>
      <c r="V4" s="92" t="s">
        <v>54</v>
      </c>
      <c r="W4" s="93"/>
    </row>
    <row r="5" spans="1:23" s="7" customFormat="1" ht="25.5" customHeight="1" x14ac:dyDescent="0.2">
      <c r="B5" s="8" t="s">
        <v>51</v>
      </c>
      <c r="C5" s="9">
        <v>600</v>
      </c>
      <c r="D5" s="9">
        <v>900</v>
      </c>
      <c r="E5" s="10">
        <v>1500</v>
      </c>
      <c r="F5" s="10">
        <v>0</v>
      </c>
      <c r="N5" s="48"/>
      <c r="P5" s="21"/>
      <c r="Q5" s="83"/>
      <c r="R5" s="88"/>
      <c r="S5" s="88"/>
      <c r="T5" s="88"/>
      <c r="U5" s="88"/>
      <c r="V5" s="88"/>
      <c r="W5" s="88"/>
    </row>
    <row r="6" spans="1:23" s="7" customFormat="1" ht="25.5" customHeight="1" x14ac:dyDescent="0.2">
      <c r="B6" s="8" t="s">
        <v>40</v>
      </c>
      <c r="C6" s="10">
        <v>200</v>
      </c>
      <c r="D6" s="10">
        <v>100</v>
      </c>
      <c r="E6" s="10">
        <v>0</v>
      </c>
      <c r="F6" s="71">
        <v>0</v>
      </c>
      <c r="N6" s="48"/>
      <c r="P6" s="19">
        <v>0.2</v>
      </c>
      <c r="Q6" s="9">
        <v>0</v>
      </c>
      <c r="R6" s="15"/>
      <c r="S6" s="15"/>
      <c r="T6" s="15"/>
      <c r="U6" s="15"/>
      <c r="V6" s="23"/>
      <c r="W6" s="24"/>
    </row>
    <row r="7" spans="1:23" s="7" customFormat="1" ht="25.5" customHeight="1" x14ac:dyDescent="0.2">
      <c r="B7" s="8" t="s">
        <v>52</v>
      </c>
      <c r="C7" s="74">
        <v>0.2</v>
      </c>
      <c r="D7" s="74">
        <v>0.1</v>
      </c>
      <c r="E7" s="74">
        <v>0</v>
      </c>
      <c r="F7" s="72">
        <v>1</v>
      </c>
      <c r="N7" s="48"/>
      <c r="P7" s="19">
        <v>0.3</v>
      </c>
      <c r="Q7" s="9">
        <v>200</v>
      </c>
      <c r="R7" s="15"/>
      <c r="S7" s="15"/>
      <c r="T7" s="15"/>
      <c r="U7" s="15"/>
      <c r="V7" s="23"/>
      <c r="W7" s="24"/>
    </row>
    <row r="8" spans="1:23" ht="27" customHeight="1" x14ac:dyDescent="0.2">
      <c r="B8" s="8" t="s">
        <v>68</v>
      </c>
      <c r="C8" s="70">
        <v>2500</v>
      </c>
      <c r="D8" s="70">
        <v>1500</v>
      </c>
      <c r="E8" s="70">
        <v>0</v>
      </c>
      <c r="F8" s="73"/>
      <c r="P8" s="19">
        <v>0.3</v>
      </c>
      <c r="Q8" s="9">
        <v>600</v>
      </c>
      <c r="R8" s="15"/>
      <c r="S8" s="15"/>
      <c r="T8" s="15"/>
      <c r="U8" s="15"/>
      <c r="V8" s="23"/>
      <c r="W8" s="24"/>
    </row>
    <row r="9" spans="1:23" ht="27" customHeight="1" x14ac:dyDescent="0.2">
      <c r="B9" s="78" t="s">
        <v>53</v>
      </c>
      <c r="P9" s="19">
        <v>0.1</v>
      </c>
      <c r="Q9" s="9">
        <v>1000</v>
      </c>
      <c r="R9" s="15"/>
      <c r="S9" s="15"/>
      <c r="T9" s="15"/>
      <c r="U9" s="15"/>
      <c r="V9" s="23"/>
      <c r="W9" s="24"/>
    </row>
    <row r="10" spans="1:23" ht="27" customHeight="1" x14ac:dyDescent="0.2">
      <c r="P10" s="19">
        <v>0.05</v>
      </c>
      <c r="Q10" s="9">
        <v>2000</v>
      </c>
      <c r="R10" s="15"/>
      <c r="S10" s="15"/>
      <c r="T10" s="15"/>
      <c r="U10" s="15"/>
      <c r="V10" s="23"/>
      <c r="W10" s="24"/>
    </row>
    <row r="11" spans="1:23" ht="27" customHeight="1" x14ac:dyDescent="0.2">
      <c r="E11" s="12" t="s">
        <v>43</v>
      </c>
      <c r="F11" s="11">
        <v>1600</v>
      </c>
      <c r="P11" s="19">
        <v>0.02</v>
      </c>
      <c r="Q11" s="9">
        <v>5000</v>
      </c>
      <c r="R11" s="15"/>
      <c r="S11" s="15"/>
      <c r="T11" s="15"/>
      <c r="U11" s="15"/>
      <c r="V11" s="23"/>
      <c r="W11" s="24"/>
    </row>
    <row r="12" spans="1:23" ht="34.5" customHeight="1" x14ac:dyDescent="0.25">
      <c r="B12" s="14"/>
      <c r="P12" s="19">
        <v>0.01</v>
      </c>
      <c r="Q12" s="9">
        <v>10000</v>
      </c>
      <c r="R12" s="15"/>
      <c r="S12" s="15"/>
      <c r="T12" s="15"/>
      <c r="U12" s="15"/>
      <c r="V12" s="23"/>
      <c r="W12" s="24"/>
    </row>
    <row r="13" spans="1:23" ht="27" customHeight="1" thickBot="1" x14ac:dyDescent="0.25">
      <c r="B13" s="13"/>
      <c r="C13" s="104" t="s">
        <v>56</v>
      </c>
      <c r="D13" s="105"/>
      <c r="E13" s="105"/>
      <c r="F13" s="106"/>
      <c r="P13" s="19">
        <v>0.01</v>
      </c>
      <c r="Q13" s="9">
        <v>15000</v>
      </c>
      <c r="R13" s="15"/>
      <c r="S13" s="15"/>
      <c r="T13" s="15"/>
      <c r="U13" s="15"/>
      <c r="V13" s="23"/>
      <c r="W13" s="24"/>
    </row>
    <row r="14" spans="1:23" ht="31.5" customHeight="1" x14ac:dyDescent="0.2">
      <c r="C14" s="17" t="str">
        <f>C4</f>
        <v>Plan1</v>
      </c>
      <c r="D14" s="17" t="str">
        <f>D4</f>
        <v>Plan2</v>
      </c>
      <c r="E14" s="17" t="str">
        <f>E4</f>
        <v>Plan3</v>
      </c>
      <c r="F14" s="17" t="str">
        <f>F4</f>
        <v>Plan4</v>
      </c>
      <c r="G14" s="112" t="s">
        <v>67</v>
      </c>
      <c r="H14" s="113"/>
      <c r="P14" s="19">
        <v>5.0000000000000001E-3</v>
      </c>
      <c r="Q14" s="9">
        <v>25000</v>
      </c>
      <c r="R14" s="15"/>
      <c r="S14" s="15"/>
      <c r="T14" s="15"/>
      <c r="U14" s="15"/>
      <c r="V14" s="23"/>
      <c r="W14" s="24"/>
    </row>
    <row r="15" spans="1:23" ht="22.5" customHeight="1" thickBot="1" x14ac:dyDescent="0.25">
      <c r="C15" s="6"/>
      <c r="D15" s="6"/>
      <c r="E15" s="6"/>
      <c r="F15" s="6"/>
      <c r="G15" s="59"/>
      <c r="H15" s="16"/>
      <c r="P15" s="19">
        <v>5.0000000000000001E-3</v>
      </c>
      <c r="Q15" s="11">
        <v>50000</v>
      </c>
      <c r="R15" s="15"/>
      <c r="S15" s="15"/>
      <c r="T15" s="15"/>
      <c r="U15" s="15"/>
      <c r="V15" s="23"/>
      <c r="W15" s="24"/>
    </row>
    <row r="16" spans="1:23" ht="22.5" customHeight="1" x14ac:dyDescent="0.2">
      <c r="O16" s="12" t="s">
        <v>47</v>
      </c>
      <c r="P16" s="25">
        <f>SUM(P6:P15)</f>
        <v>1</v>
      </c>
      <c r="Q16" s="20"/>
    </row>
    <row r="17" spans="2:41" ht="22.5" customHeight="1" x14ac:dyDescent="0.2"/>
    <row r="18" spans="2:41" ht="22.5" customHeight="1" x14ac:dyDescent="0.2">
      <c r="Q18" s="51" t="s">
        <v>48</v>
      </c>
      <c r="R18" s="17" t="str">
        <f>C4</f>
        <v>Plan1</v>
      </c>
      <c r="S18" s="17" t="str">
        <f>D4</f>
        <v>Plan2</v>
      </c>
      <c r="T18" s="17" t="str">
        <f>E4</f>
        <v>Plan3</v>
      </c>
      <c r="U18" s="17" t="str">
        <f>F4</f>
        <v>Plan4</v>
      </c>
      <c r="V18" s="94"/>
      <c r="W18" s="94"/>
    </row>
    <row r="19" spans="2:41" ht="22.5" customHeight="1" x14ac:dyDescent="0.2">
      <c r="Q19" s="8" t="s">
        <v>58</v>
      </c>
      <c r="R19" s="26"/>
      <c r="S19" s="26"/>
      <c r="T19" s="26"/>
      <c r="U19" s="26"/>
      <c r="V19" s="95"/>
      <c r="W19" s="95"/>
    </row>
    <row r="20" spans="2:41" ht="22.5" customHeight="1" x14ac:dyDescent="0.2">
      <c r="Q20" s="8" t="s">
        <v>57</v>
      </c>
      <c r="R20" s="26"/>
      <c r="S20" s="26"/>
      <c r="T20" s="26"/>
      <c r="U20" s="26"/>
      <c r="V20" s="95"/>
      <c r="W20" s="95"/>
    </row>
    <row r="21" spans="2:41" ht="22.5" customHeight="1" x14ac:dyDescent="0.2">
      <c r="Q21" s="8" t="s">
        <v>59</v>
      </c>
      <c r="R21" s="27"/>
      <c r="S21" s="27"/>
      <c r="T21" s="27"/>
      <c r="U21" s="27"/>
      <c r="V21" s="95"/>
      <c r="W21" s="95"/>
    </row>
    <row r="22" spans="2:41" ht="22.5" customHeight="1" x14ac:dyDescent="0.2">
      <c r="Q22" s="8" t="s">
        <v>60</v>
      </c>
      <c r="R22" s="27"/>
      <c r="S22" s="27"/>
      <c r="T22" s="27"/>
      <c r="U22" s="27"/>
      <c r="V22" s="95"/>
      <c r="W22" s="95"/>
    </row>
    <row r="23" spans="2:41" ht="22.5" customHeight="1" thickBot="1" x14ac:dyDescent="0.25"/>
    <row r="24" spans="2:41" ht="46.5" customHeight="1" x14ac:dyDescent="0.2">
      <c r="Q24" s="8" t="s">
        <v>65</v>
      </c>
      <c r="R24" s="11">
        <v>1000</v>
      </c>
      <c r="T24" s="98" t="s">
        <v>63</v>
      </c>
      <c r="U24" s="99"/>
      <c r="V24" s="55"/>
      <c r="W24" s="76"/>
    </row>
    <row r="25" spans="2:41" ht="33" customHeight="1" thickBot="1" x14ac:dyDescent="0.25">
      <c r="T25" s="96" t="str">
        <f>"Average Annual Cost of "&amp;V24</f>
        <v xml:space="preserve">Average Annual Cost of </v>
      </c>
      <c r="U25" s="97"/>
      <c r="V25" s="56"/>
      <c r="W25" s="76"/>
    </row>
    <row r="26" spans="2:41" ht="39.75" customHeight="1" x14ac:dyDescent="0.2">
      <c r="Q26" s="8" t="s">
        <v>61</v>
      </c>
      <c r="R26" s="28">
        <v>0.05</v>
      </c>
      <c r="W26" s="77"/>
    </row>
    <row r="27" spans="2:41" ht="27.75" customHeight="1" x14ac:dyDescent="0.2">
      <c r="R27" s="114"/>
      <c r="T27" s="54"/>
      <c r="U27" s="54"/>
    </row>
    <row r="28" spans="2:41" ht="40.5" customHeight="1" x14ac:dyDescent="0.2"/>
    <row r="29" spans="2:41" ht="45.75" customHeight="1" thickBot="1" x14ac:dyDescent="0.25">
      <c r="B29" s="57"/>
      <c r="C29" s="104" t="s">
        <v>56</v>
      </c>
      <c r="D29" s="105"/>
      <c r="E29" s="105"/>
      <c r="F29" s="106"/>
      <c r="G29" s="111"/>
      <c r="H29" s="111"/>
      <c r="I29" s="111"/>
      <c r="J29" s="111"/>
      <c r="K29" s="111"/>
      <c r="L29" s="111"/>
    </row>
    <row r="30" spans="2:41" ht="49.5" customHeight="1" x14ac:dyDescent="0.25">
      <c r="B30" s="58" t="s">
        <v>42</v>
      </c>
      <c r="C30" s="85" t="str">
        <f>C4</f>
        <v>Plan1</v>
      </c>
      <c r="D30" s="85" t="str">
        <f>D4</f>
        <v>Plan2</v>
      </c>
      <c r="E30" s="85" t="str">
        <f>E4</f>
        <v>Plan3</v>
      </c>
      <c r="F30" s="85" t="str">
        <f>F4</f>
        <v>Plan4</v>
      </c>
      <c r="G30" s="109" t="s">
        <v>67</v>
      </c>
      <c r="H30" s="110"/>
      <c r="I30" s="75"/>
      <c r="J30" s="75"/>
      <c r="K30" s="75"/>
      <c r="L30" s="75"/>
      <c r="R30" s="92" t="s">
        <v>63</v>
      </c>
      <c r="S30" s="93"/>
      <c r="T30" s="44"/>
      <c r="U30" s="29" t="s">
        <v>64</v>
      </c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1"/>
    </row>
    <row r="31" spans="2:41" ht="15.75" x14ac:dyDescent="0.25">
      <c r="B31" s="83"/>
      <c r="C31" s="86"/>
      <c r="D31" s="86"/>
      <c r="E31" s="86"/>
      <c r="F31" s="86"/>
      <c r="G31" s="86"/>
      <c r="H31" s="87"/>
      <c r="I31" s="80"/>
      <c r="J31" s="80"/>
      <c r="K31" s="80"/>
      <c r="L31" s="80"/>
      <c r="N31" s="49"/>
      <c r="R31" s="43"/>
      <c r="S31" s="43"/>
      <c r="T31" s="87"/>
      <c r="U31" s="32">
        <v>0</v>
      </c>
      <c r="V31" s="33">
        <v>0.01</v>
      </c>
      <c r="W31" s="33">
        <v>0.02</v>
      </c>
      <c r="X31" s="33">
        <v>0.03</v>
      </c>
      <c r="Y31" s="33">
        <v>0.04</v>
      </c>
      <c r="Z31" s="33">
        <v>0.05</v>
      </c>
      <c r="AA31" s="33">
        <v>0.06</v>
      </c>
      <c r="AB31" s="33">
        <v>7.0000000000000007E-2</v>
      </c>
      <c r="AC31" s="33">
        <v>0.08</v>
      </c>
      <c r="AD31" s="33">
        <v>0.09</v>
      </c>
      <c r="AE31" s="33">
        <v>0.1</v>
      </c>
      <c r="AF31" s="33">
        <v>0.11</v>
      </c>
      <c r="AG31" s="33">
        <v>0.12</v>
      </c>
      <c r="AH31" s="33">
        <v>0.13</v>
      </c>
      <c r="AI31" s="33">
        <v>0.14000000000000001</v>
      </c>
      <c r="AJ31" s="33">
        <v>0.15</v>
      </c>
      <c r="AK31" s="33">
        <v>0.16</v>
      </c>
      <c r="AL31" s="33">
        <v>0.17</v>
      </c>
      <c r="AM31" s="33">
        <v>0.18</v>
      </c>
      <c r="AN31" s="33">
        <v>0.19</v>
      </c>
      <c r="AO31" s="34">
        <v>0.2</v>
      </c>
    </row>
    <row r="32" spans="2:41" ht="16.5" customHeight="1" x14ac:dyDescent="0.25">
      <c r="B32" s="67">
        <v>0</v>
      </c>
      <c r="C32" s="60"/>
      <c r="D32" s="60"/>
      <c r="E32" s="60"/>
      <c r="F32" s="61"/>
      <c r="G32" s="81"/>
      <c r="H32" s="82"/>
      <c r="I32" s="79"/>
      <c r="J32" s="79"/>
      <c r="K32" s="79"/>
      <c r="L32" s="79"/>
      <c r="N32" s="50"/>
      <c r="R32" s="37"/>
      <c r="S32" s="38" t="s">
        <v>62</v>
      </c>
      <c r="T32" s="35">
        <f>S34</f>
        <v>0</v>
      </c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</row>
    <row r="33" spans="2:41" ht="16.5" customHeight="1" x14ac:dyDescent="0.2">
      <c r="B33" s="68">
        <v>100</v>
      </c>
      <c r="C33" s="63"/>
      <c r="D33" s="63"/>
      <c r="E33" s="63"/>
      <c r="F33" s="64"/>
      <c r="G33" s="65"/>
      <c r="H33" s="66"/>
      <c r="I33" s="79"/>
      <c r="J33" s="79"/>
      <c r="K33" s="79"/>
      <c r="L33" s="79"/>
      <c r="N33" s="50"/>
      <c r="R33" s="39"/>
      <c r="S33" s="40"/>
      <c r="T33" s="36">
        <f>T32+$S$35</f>
        <v>100</v>
      </c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</row>
    <row r="34" spans="2:41" ht="16.5" customHeight="1" x14ac:dyDescent="0.25">
      <c r="B34" s="68">
        <v>200</v>
      </c>
      <c r="C34" s="63"/>
      <c r="D34" s="63"/>
      <c r="E34" s="63"/>
      <c r="F34" s="64"/>
      <c r="G34" s="65"/>
      <c r="H34" s="66"/>
      <c r="I34" s="79"/>
      <c r="J34" s="79"/>
      <c r="K34" s="79"/>
      <c r="L34" s="79"/>
      <c r="N34" s="50"/>
      <c r="R34" s="52" t="s">
        <v>50</v>
      </c>
      <c r="S34" s="53">
        <v>0</v>
      </c>
      <c r="T34" s="36">
        <f t="shared" ref="T34:T82" si="0">T33+$S$35</f>
        <v>200</v>
      </c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</row>
    <row r="35" spans="2:41" ht="16.5" customHeight="1" x14ac:dyDescent="0.25">
      <c r="B35" s="68">
        <v>300</v>
      </c>
      <c r="C35" s="63"/>
      <c r="D35" s="63"/>
      <c r="E35" s="63"/>
      <c r="F35" s="64"/>
      <c r="G35" s="65"/>
      <c r="H35" s="66"/>
      <c r="I35" s="79"/>
      <c r="J35" s="79"/>
      <c r="K35" s="79"/>
      <c r="L35" s="79"/>
      <c r="N35" s="50"/>
      <c r="R35" s="52" t="s">
        <v>49</v>
      </c>
      <c r="S35" s="53">
        <v>100</v>
      </c>
      <c r="T35" s="36">
        <f t="shared" si="0"/>
        <v>300</v>
      </c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</row>
    <row r="36" spans="2:41" ht="16.5" customHeight="1" x14ac:dyDescent="0.2">
      <c r="B36" s="68">
        <v>400</v>
      </c>
      <c r="C36" s="63"/>
      <c r="D36" s="63"/>
      <c r="E36" s="63"/>
      <c r="F36" s="64"/>
      <c r="G36" s="65"/>
      <c r="H36" s="66"/>
      <c r="I36" s="79"/>
      <c r="J36" s="79"/>
      <c r="K36" s="79"/>
      <c r="L36" s="79"/>
      <c r="N36" s="50"/>
      <c r="R36" s="39"/>
      <c r="S36" s="40"/>
      <c r="T36" s="36">
        <f t="shared" si="0"/>
        <v>400</v>
      </c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</row>
    <row r="37" spans="2:41" ht="16.5" customHeight="1" x14ac:dyDescent="0.2">
      <c r="B37" s="68">
        <v>500</v>
      </c>
      <c r="C37" s="63"/>
      <c r="D37" s="63"/>
      <c r="E37" s="63"/>
      <c r="F37" s="64"/>
      <c r="G37" s="65"/>
      <c r="H37" s="66"/>
      <c r="I37" s="79"/>
      <c r="J37" s="79"/>
      <c r="K37" s="79"/>
      <c r="L37" s="79"/>
      <c r="N37" s="50"/>
      <c r="R37" s="39"/>
      <c r="S37" s="40"/>
      <c r="T37" s="36">
        <f t="shared" si="0"/>
        <v>500</v>
      </c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</row>
    <row r="38" spans="2:41" ht="16.5" customHeight="1" x14ac:dyDescent="0.2">
      <c r="B38" s="68">
        <v>600</v>
      </c>
      <c r="C38" s="63"/>
      <c r="D38" s="63"/>
      <c r="E38" s="63"/>
      <c r="F38" s="64"/>
      <c r="G38" s="65"/>
      <c r="H38" s="66"/>
      <c r="I38" s="79"/>
      <c r="J38" s="79"/>
      <c r="K38" s="79"/>
      <c r="L38" s="79"/>
      <c r="N38" s="50"/>
      <c r="R38" s="39"/>
      <c r="S38" s="40"/>
      <c r="T38" s="36">
        <f t="shared" si="0"/>
        <v>600</v>
      </c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</row>
    <row r="39" spans="2:41" ht="16.5" customHeight="1" x14ac:dyDescent="0.2">
      <c r="B39" s="68">
        <v>700</v>
      </c>
      <c r="C39" s="63"/>
      <c r="D39" s="63"/>
      <c r="E39" s="63"/>
      <c r="F39" s="64"/>
      <c r="G39" s="65"/>
      <c r="H39" s="66"/>
      <c r="I39" s="79"/>
      <c r="J39" s="79"/>
      <c r="K39" s="79"/>
      <c r="L39" s="79"/>
      <c r="N39" s="50"/>
      <c r="R39" s="39"/>
      <c r="S39" s="40"/>
      <c r="T39" s="36">
        <f t="shared" si="0"/>
        <v>700</v>
      </c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</row>
    <row r="40" spans="2:41" ht="16.5" customHeight="1" x14ac:dyDescent="0.2">
      <c r="B40" s="68">
        <v>800</v>
      </c>
      <c r="C40" s="63"/>
      <c r="D40" s="63"/>
      <c r="E40" s="63"/>
      <c r="F40" s="64"/>
      <c r="G40" s="65"/>
      <c r="H40" s="66"/>
      <c r="I40" s="79"/>
      <c r="J40" s="79"/>
      <c r="K40" s="79"/>
      <c r="L40" s="79"/>
      <c r="N40" s="50"/>
      <c r="R40" s="39"/>
      <c r="S40" s="40"/>
      <c r="T40" s="36">
        <f t="shared" si="0"/>
        <v>800</v>
      </c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</row>
    <row r="41" spans="2:41" ht="16.5" customHeight="1" x14ac:dyDescent="0.2">
      <c r="B41" s="68">
        <v>900</v>
      </c>
      <c r="C41" s="63"/>
      <c r="D41" s="63"/>
      <c r="E41" s="63"/>
      <c r="F41" s="64"/>
      <c r="G41" s="65"/>
      <c r="H41" s="66"/>
      <c r="I41" s="79"/>
      <c r="J41" s="79"/>
      <c r="K41" s="79"/>
      <c r="L41" s="79"/>
      <c r="N41" s="50"/>
      <c r="R41" s="39"/>
      <c r="S41" s="40"/>
      <c r="T41" s="36">
        <f t="shared" si="0"/>
        <v>900</v>
      </c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</row>
    <row r="42" spans="2:41" ht="16.5" customHeight="1" x14ac:dyDescent="0.2">
      <c r="B42" s="68">
        <v>1000</v>
      </c>
      <c r="C42" s="63"/>
      <c r="D42" s="63"/>
      <c r="E42" s="63"/>
      <c r="F42" s="64"/>
      <c r="G42" s="65"/>
      <c r="H42" s="66"/>
      <c r="I42" s="79"/>
      <c r="J42" s="79"/>
      <c r="K42" s="79"/>
      <c r="L42" s="79"/>
      <c r="N42" s="50"/>
      <c r="R42" s="39"/>
      <c r="S42" s="40"/>
      <c r="T42" s="36">
        <f t="shared" si="0"/>
        <v>1000</v>
      </c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</row>
    <row r="43" spans="2:41" ht="16.5" customHeight="1" x14ac:dyDescent="0.2">
      <c r="B43" s="68">
        <v>1100</v>
      </c>
      <c r="C43" s="63"/>
      <c r="D43" s="63"/>
      <c r="E43" s="63"/>
      <c r="F43" s="64"/>
      <c r="G43" s="65"/>
      <c r="H43" s="66"/>
      <c r="I43" s="79"/>
      <c r="J43" s="79"/>
      <c r="K43" s="79"/>
      <c r="L43" s="79"/>
      <c r="N43" s="50"/>
      <c r="R43" s="39"/>
      <c r="S43" s="40"/>
      <c r="T43" s="36">
        <f t="shared" si="0"/>
        <v>1100</v>
      </c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</row>
    <row r="44" spans="2:41" ht="16.5" customHeight="1" x14ac:dyDescent="0.2">
      <c r="B44" s="68">
        <v>1200</v>
      </c>
      <c r="C44" s="63"/>
      <c r="D44" s="63"/>
      <c r="E44" s="63"/>
      <c r="F44" s="64"/>
      <c r="G44" s="65"/>
      <c r="H44" s="66"/>
      <c r="I44" s="79"/>
      <c r="J44" s="79"/>
      <c r="K44" s="79"/>
      <c r="L44" s="79"/>
      <c r="N44" s="50"/>
      <c r="R44" s="39"/>
      <c r="S44" s="40"/>
      <c r="T44" s="36">
        <f t="shared" si="0"/>
        <v>1200</v>
      </c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</row>
    <row r="45" spans="2:41" ht="16.5" customHeight="1" x14ac:dyDescent="0.2">
      <c r="B45" s="68">
        <v>1300</v>
      </c>
      <c r="C45" s="63"/>
      <c r="D45" s="63"/>
      <c r="E45" s="63"/>
      <c r="F45" s="64"/>
      <c r="G45" s="65"/>
      <c r="H45" s="66"/>
      <c r="I45" s="79"/>
      <c r="J45" s="79"/>
      <c r="K45" s="79"/>
      <c r="L45" s="79"/>
      <c r="N45" s="50"/>
      <c r="R45" s="39"/>
      <c r="S45" s="40"/>
      <c r="T45" s="36">
        <f t="shared" si="0"/>
        <v>1300</v>
      </c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</row>
    <row r="46" spans="2:41" ht="16.5" customHeight="1" x14ac:dyDescent="0.2">
      <c r="B46" s="68">
        <v>1400</v>
      </c>
      <c r="C46" s="63"/>
      <c r="D46" s="63"/>
      <c r="E46" s="63"/>
      <c r="F46" s="64"/>
      <c r="G46" s="65"/>
      <c r="H46" s="66"/>
      <c r="I46" s="79"/>
      <c r="J46" s="79"/>
      <c r="K46" s="79"/>
      <c r="L46" s="79"/>
      <c r="N46" s="50"/>
      <c r="R46" s="39"/>
      <c r="S46" s="40"/>
      <c r="T46" s="36">
        <f t="shared" si="0"/>
        <v>1400</v>
      </c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</row>
    <row r="47" spans="2:41" ht="16.5" customHeight="1" x14ac:dyDescent="0.2">
      <c r="B47" s="68">
        <v>1500</v>
      </c>
      <c r="C47" s="63"/>
      <c r="D47" s="63"/>
      <c r="E47" s="63"/>
      <c r="F47" s="64"/>
      <c r="G47" s="65"/>
      <c r="H47" s="66"/>
      <c r="I47" s="79"/>
      <c r="J47" s="79"/>
      <c r="K47" s="79"/>
      <c r="L47" s="79"/>
      <c r="N47" s="50"/>
      <c r="R47" s="39"/>
      <c r="S47" s="40"/>
      <c r="T47" s="36">
        <f t="shared" si="0"/>
        <v>1500</v>
      </c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</row>
    <row r="48" spans="2:41" ht="16.5" customHeight="1" x14ac:dyDescent="0.2">
      <c r="B48" s="68">
        <v>1600</v>
      </c>
      <c r="C48" s="63"/>
      <c r="D48" s="63"/>
      <c r="E48" s="63"/>
      <c r="F48" s="64"/>
      <c r="G48" s="65"/>
      <c r="H48" s="66"/>
      <c r="I48" s="79"/>
      <c r="J48" s="79"/>
      <c r="K48" s="79"/>
      <c r="L48" s="79"/>
      <c r="N48" s="50"/>
      <c r="R48" s="39"/>
      <c r="S48" s="40"/>
      <c r="T48" s="36">
        <f t="shared" si="0"/>
        <v>1600</v>
      </c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</row>
    <row r="49" spans="2:41" ht="16.5" customHeight="1" x14ac:dyDescent="0.2">
      <c r="B49" s="68">
        <v>1700</v>
      </c>
      <c r="C49" s="63"/>
      <c r="D49" s="63"/>
      <c r="E49" s="63"/>
      <c r="F49" s="64"/>
      <c r="G49" s="65"/>
      <c r="H49" s="66"/>
      <c r="I49" s="79"/>
      <c r="J49" s="79"/>
      <c r="K49" s="79"/>
      <c r="L49" s="79"/>
      <c r="N49" s="50"/>
      <c r="R49" s="39"/>
      <c r="S49" s="40"/>
      <c r="T49" s="36">
        <f t="shared" si="0"/>
        <v>1700</v>
      </c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</row>
    <row r="50" spans="2:41" ht="16.5" customHeight="1" x14ac:dyDescent="0.2">
      <c r="B50" s="68">
        <v>1800</v>
      </c>
      <c r="C50" s="63"/>
      <c r="D50" s="63"/>
      <c r="E50" s="63"/>
      <c r="F50" s="64"/>
      <c r="G50" s="65"/>
      <c r="H50" s="66"/>
      <c r="I50" s="79"/>
      <c r="J50" s="79"/>
      <c r="K50" s="79"/>
      <c r="L50" s="79"/>
      <c r="N50" s="50"/>
      <c r="R50" s="39"/>
      <c r="S50" s="40"/>
      <c r="T50" s="36">
        <f t="shared" si="0"/>
        <v>1800</v>
      </c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</row>
    <row r="51" spans="2:41" ht="16.5" customHeight="1" x14ac:dyDescent="0.2">
      <c r="B51" s="68">
        <v>1900</v>
      </c>
      <c r="C51" s="63"/>
      <c r="D51" s="63"/>
      <c r="E51" s="63"/>
      <c r="F51" s="64"/>
      <c r="G51" s="65"/>
      <c r="H51" s="66"/>
      <c r="I51" s="79"/>
      <c r="J51" s="79"/>
      <c r="K51" s="79"/>
      <c r="L51" s="79"/>
      <c r="N51" s="50"/>
      <c r="R51" s="39"/>
      <c r="S51" s="40"/>
      <c r="T51" s="36">
        <f t="shared" si="0"/>
        <v>1900</v>
      </c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</row>
    <row r="52" spans="2:41" ht="16.5" customHeight="1" x14ac:dyDescent="0.2">
      <c r="B52" s="68">
        <v>2000</v>
      </c>
      <c r="C52" s="63"/>
      <c r="D52" s="63"/>
      <c r="E52" s="63"/>
      <c r="F52" s="64"/>
      <c r="G52" s="65"/>
      <c r="H52" s="66"/>
      <c r="I52" s="79"/>
      <c r="J52" s="79"/>
      <c r="K52" s="79"/>
      <c r="L52" s="79"/>
      <c r="N52" s="50"/>
      <c r="R52" s="39"/>
      <c r="S52" s="40"/>
      <c r="T52" s="36">
        <f t="shared" si="0"/>
        <v>2000</v>
      </c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</row>
    <row r="53" spans="2:41" ht="16.5" customHeight="1" x14ac:dyDescent="0.2">
      <c r="B53" s="68">
        <v>2100</v>
      </c>
      <c r="C53" s="63"/>
      <c r="D53" s="63"/>
      <c r="E53" s="63"/>
      <c r="F53" s="64"/>
      <c r="G53" s="65"/>
      <c r="H53" s="66"/>
      <c r="I53" s="79"/>
      <c r="J53" s="79"/>
      <c r="K53" s="79"/>
      <c r="L53" s="79"/>
      <c r="N53" s="50"/>
      <c r="R53" s="39"/>
      <c r="S53" s="40"/>
      <c r="T53" s="36">
        <f t="shared" si="0"/>
        <v>2100</v>
      </c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</row>
    <row r="54" spans="2:41" ht="16.5" customHeight="1" x14ac:dyDescent="0.2">
      <c r="B54" s="68">
        <v>2200</v>
      </c>
      <c r="C54" s="63"/>
      <c r="D54" s="63"/>
      <c r="E54" s="63"/>
      <c r="F54" s="64"/>
      <c r="G54" s="65"/>
      <c r="H54" s="66"/>
      <c r="I54" s="79"/>
      <c r="J54" s="79"/>
      <c r="K54" s="79"/>
      <c r="L54" s="79"/>
      <c r="N54" s="50"/>
      <c r="R54" s="39"/>
      <c r="S54" s="40"/>
      <c r="T54" s="36">
        <f t="shared" si="0"/>
        <v>2200</v>
      </c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</row>
    <row r="55" spans="2:41" ht="16.5" customHeight="1" x14ac:dyDescent="0.2">
      <c r="B55" s="68">
        <v>2300</v>
      </c>
      <c r="C55" s="63"/>
      <c r="D55" s="63"/>
      <c r="E55" s="63"/>
      <c r="F55" s="64"/>
      <c r="G55" s="65"/>
      <c r="H55" s="66"/>
      <c r="I55" s="79"/>
      <c r="J55" s="79"/>
      <c r="K55" s="79"/>
      <c r="L55" s="79"/>
      <c r="N55" s="50"/>
      <c r="R55" s="39"/>
      <c r="S55" s="40"/>
      <c r="T55" s="36">
        <f t="shared" si="0"/>
        <v>2300</v>
      </c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</row>
    <row r="56" spans="2:41" ht="16.5" customHeight="1" x14ac:dyDescent="0.2">
      <c r="B56" s="68">
        <v>2400</v>
      </c>
      <c r="C56" s="63"/>
      <c r="D56" s="63"/>
      <c r="E56" s="63"/>
      <c r="F56" s="64"/>
      <c r="G56" s="65"/>
      <c r="H56" s="66"/>
      <c r="I56" s="79"/>
      <c r="J56" s="79"/>
      <c r="K56" s="79"/>
      <c r="L56" s="79"/>
      <c r="N56" s="50"/>
      <c r="R56" s="39"/>
      <c r="S56" s="40"/>
      <c r="T56" s="36">
        <f t="shared" si="0"/>
        <v>2400</v>
      </c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</row>
    <row r="57" spans="2:41" ht="16.5" customHeight="1" x14ac:dyDescent="0.2">
      <c r="B57" s="68">
        <v>2500</v>
      </c>
      <c r="C57" s="63"/>
      <c r="D57" s="63"/>
      <c r="E57" s="63"/>
      <c r="F57" s="64"/>
      <c r="G57" s="65"/>
      <c r="H57" s="66"/>
      <c r="I57" s="79"/>
      <c r="J57" s="79"/>
      <c r="K57" s="79"/>
      <c r="L57" s="79"/>
      <c r="N57" s="50"/>
      <c r="R57" s="39"/>
      <c r="S57" s="40"/>
      <c r="T57" s="36">
        <f t="shared" si="0"/>
        <v>2500</v>
      </c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</row>
    <row r="58" spans="2:41" ht="16.5" customHeight="1" x14ac:dyDescent="0.2">
      <c r="B58" s="68">
        <v>2600</v>
      </c>
      <c r="C58" s="63"/>
      <c r="D58" s="63"/>
      <c r="E58" s="63"/>
      <c r="F58" s="64"/>
      <c r="G58" s="65"/>
      <c r="H58" s="66"/>
      <c r="I58" s="79"/>
      <c r="J58" s="79"/>
      <c r="K58" s="79"/>
      <c r="L58" s="79"/>
      <c r="N58" s="50"/>
      <c r="R58" s="39"/>
      <c r="S58" s="40"/>
      <c r="T58" s="36">
        <f t="shared" si="0"/>
        <v>2600</v>
      </c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</row>
    <row r="59" spans="2:41" ht="16.5" customHeight="1" x14ac:dyDescent="0.2">
      <c r="B59" s="68">
        <v>2700</v>
      </c>
      <c r="C59" s="63"/>
      <c r="D59" s="63"/>
      <c r="E59" s="63"/>
      <c r="F59" s="64"/>
      <c r="G59" s="65"/>
      <c r="H59" s="66"/>
      <c r="I59" s="79"/>
      <c r="J59" s="79"/>
      <c r="K59" s="79"/>
      <c r="L59" s="79"/>
      <c r="N59" s="50"/>
      <c r="R59" s="39"/>
      <c r="S59" s="40"/>
      <c r="T59" s="36">
        <f t="shared" si="0"/>
        <v>2700</v>
      </c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</row>
    <row r="60" spans="2:41" ht="16.5" customHeight="1" x14ac:dyDescent="0.2">
      <c r="B60" s="68">
        <v>2800</v>
      </c>
      <c r="C60" s="63"/>
      <c r="D60" s="63"/>
      <c r="E60" s="63"/>
      <c r="F60" s="64"/>
      <c r="G60" s="65"/>
      <c r="H60" s="66"/>
      <c r="I60" s="79"/>
      <c r="J60" s="79"/>
      <c r="K60" s="79"/>
      <c r="L60" s="79"/>
      <c r="N60" s="50"/>
      <c r="R60" s="39"/>
      <c r="S60" s="40"/>
      <c r="T60" s="36">
        <f t="shared" si="0"/>
        <v>2800</v>
      </c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</row>
    <row r="61" spans="2:41" ht="16.5" customHeight="1" x14ac:dyDescent="0.2">
      <c r="B61" s="68">
        <v>2900</v>
      </c>
      <c r="C61" s="63"/>
      <c r="D61" s="63"/>
      <c r="E61" s="63"/>
      <c r="F61" s="64"/>
      <c r="G61" s="65"/>
      <c r="H61" s="66"/>
      <c r="I61" s="79"/>
      <c r="J61" s="79"/>
      <c r="K61" s="79"/>
      <c r="L61" s="79"/>
      <c r="N61" s="50"/>
      <c r="R61" s="39"/>
      <c r="S61" s="40"/>
      <c r="T61" s="36">
        <f t="shared" si="0"/>
        <v>2900</v>
      </c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</row>
    <row r="62" spans="2:41" ht="16.5" customHeight="1" x14ac:dyDescent="0.2">
      <c r="B62" s="68">
        <v>3000</v>
      </c>
      <c r="C62" s="63"/>
      <c r="D62" s="63"/>
      <c r="E62" s="63"/>
      <c r="F62" s="64"/>
      <c r="G62" s="65"/>
      <c r="H62" s="66"/>
      <c r="I62" s="79"/>
      <c r="J62" s="79"/>
      <c r="K62" s="79"/>
      <c r="L62" s="79"/>
      <c r="N62" s="50"/>
      <c r="R62" s="39"/>
      <c r="S62" s="40"/>
      <c r="T62" s="36">
        <f t="shared" si="0"/>
        <v>3000</v>
      </c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</row>
    <row r="63" spans="2:41" ht="16.5" customHeight="1" x14ac:dyDescent="0.2">
      <c r="B63" s="68">
        <v>3100</v>
      </c>
      <c r="C63" s="63"/>
      <c r="D63" s="63"/>
      <c r="E63" s="63"/>
      <c r="F63" s="64"/>
      <c r="G63" s="65"/>
      <c r="H63" s="66"/>
      <c r="I63" s="79"/>
      <c r="J63" s="79"/>
      <c r="K63" s="79"/>
      <c r="L63" s="79"/>
      <c r="N63" s="50"/>
      <c r="R63" s="39"/>
      <c r="S63" s="40"/>
      <c r="T63" s="36">
        <f t="shared" si="0"/>
        <v>3100</v>
      </c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</row>
    <row r="64" spans="2:41" ht="16.5" customHeight="1" x14ac:dyDescent="0.2">
      <c r="B64" s="68">
        <v>3200</v>
      </c>
      <c r="C64" s="63"/>
      <c r="D64" s="63"/>
      <c r="E64" s="63"/>
      <c r="F64" s="64"/>
      <c r="G64" s="65"/>
      <c r="H64" s="66"/>
      <c r="I64" s="79"/>
      <c r="J64" s="79"/>
      <c r="K64" s="79"/>
      <c r="L64" s="79"/>
      <c r="N64" s="50"/>
      <c r="R64" s="39"/>
      <c r="S64" s="40"/>
      <c r="T64" s="36">
        <f t="shared" si="0"/>
        <v>3200</v>
      </c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</row>
    <row r="65" spans="2:41" ht="16.5" customHeight="1" x14ac:dyDescent="0.2">
      <c r="B65" s="68">
        <v>3300</v>
      </c>
      <c r="C65" s="63"/>
      <c r="D65" s="63"/>
      <c r="E65" s="63"/>
      <c r="F65" s="64"/>
      <c r="G65" s="65"/>
      <c r="H65" s="66"/>
      <c r="I65" s="79"/>
      <c r="J65" s="79"/>
      <c r="K65" s="79"/>
      <c r="L65" s="79"/>
      <c r="N65" s="50"/>
      <c r="R65" s="39"/>
      <c r="S65" s="40"/>
      <c r="T65" s="36">
        <f t="shared" si="0"/>
        <v>3300</v>
      </c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</row>
    <row r="66" spans="2:41" ht="16.5" customHeight="1" x14ac:dyDescent="0.2">
      <c r="B66" s="68">
        <v>3400</v>
      </c>
      <c r="C66" s="63"/>
      <c r="D66" s="63"/>
      <c r="E66" s="63"/>
      <c r="F66" s="64"/>
      <c r="G66" s="65"/>
      <c r="H66" s="66"/>
      <c r="I66" s="79"/>
      <c r="J66" s="79"/>
      <c r="K66" s="79"/>
      <c r="L66" s="79"/>
      <c r="N66" s="50"/>
      <c r="R66" s="39"/>
      <c r="S66" s="40"/>
      <c r="T66" s="36">
        <f t="shared" si="0"/>
        <v>3400</v>
      </c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</row>
    <row r="67" spans="2:41" ht="16.5" customHeight="1" x14ac:dyDescent="0.2">
      <c r="B67" s="68">
        <v>3500</v>
      </c>
      <c r="C67" s="63"/>
      <c r="D67" s="63"/>
      <c r="E67" s="63"/>
      <c r="F67" s="64"/>
      <c r="G67" s="65"/>
      <c r="H67" s="66"/>
      <c r="I67" s="79"/>
      <c r="J67" s="79"/>
      <c r="K67" s="79"/>
      <c r="L67" s="79"/>
      <c r="N67" s="50"/>
      <c r="R67" s="39"/>
      <c r="S67" s="40"/>
      <c r="T67" s="36">
        <f t="shared" si="0"/>
        <v>3500</v>
      </c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</row>
    <row r="68" spans="2:41" ht="16.5" customHeight="1" x14ac:dyDescent="0.2">
      <c r="B68" s="68">
        <v>3600</v>
      </c>
      <c r="C68" s="63"/>
      <c r="D68" s="63"/>
      <c r="E68" s="63"/>
      <c r="F68" s="64"/>
      <c r="G68" s="65"/>
      <c r="H68" s="66"/>
      <c r="I68" s="79"/>
      <c r="J68" s="79"/>
      <c r="K68" s="79"/>
      <c r="L68" s="79"/>
      <c r="N68" s="50"/>
      <c r="R68" s="39"/>
      <c r="S68" s="40"/>
      <c r="T68" s="36">
        <f t="shared" si="0"/>
        <v>3600</v>
      </c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</row>
    <row r="69" spans="2:41" ht="16.5" customHeight="1" x14ac:dyDescent="0.2">
      <c r="B69" s="68">
        <v>3700</v>
      </c>
      <c r="C69" s="63"/>
      <c r="D69" s="63"/>
      <c r="E69" s="63"/>
      <c r="F69" s="64"/>
      <c r="G69" s="65"/>
      <c r="H69" s="66"/>
      <c r="I69" s="79"/>
      <c r="J69" s="79"/>
      <c r="K69" s="79"/>
      <c r="L69" s="79"/>
      <c r="N69" s="50"/>
      <c r="R69" s="39"/>
      <c r="S69" s="40"/>
      <c r="T69" s="36">
        <f t="shared" si="0"/>
        <v>3700</v>
      </c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</row>
    <row r="70" spans="2:41" ht="16.5" customHeight="1" x14ac:dyDescent="0.2">
      <c r="B70" s="68">
        <v>3800</v>
      </c>
      <c r="C70" s="63"/>
      <c r="D70" s="63"/>
      <c r="E70" s="63"/>
      <c r="F70" s="64"/>
      <c r="G70" s="65"/>
      <c r="H70" s="66"/>
      <c r="I70" s="79"/>
      <c r="J70" s="79"/>
      <c r="K70" s="79"/>
      <c r="L70" s="79"/>
      <c r="N70" s="50"/>
      <c r="R70" s="39"/>
      <c r="S70" s="40"/>
      <c r="T70" s="36">
        <f t="shared" si="0"/>
        <v>3800</v>
      </c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</row>
    <row r="71" spans="2:41" ht="16.5" customHeight="1" x14ac:dyDescent="0.2">
      <c r="B71" s="68">
        <v>3900</v>
      </c>
      <c r="C71" s="63"/>
      <c r="D71" s="63"/>
      <c r="E71" s="63"/>
      <c r="F71" s="64"/>
      <c r="G71" s="65"/>
      <c r="H71" s="66"/>
      <c r="I71" s="79"/>
      <c r="J71" s="79"/>
      <c r="K71" s="79"/>
      <c r="L71" s="79"/>
      <c r="N71" s="50"/>
      <c r="R71" s="39"/>
      <c r="S71" s="40"/>
      <c r="T71" s="36">
        <f t="shared" si="0"/>
        <v>3900</v>
      </c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</row>
    <row r="72" spans="2:41" ht="16.5" customHeight="1" x14ac:dyDescent="0.2">
      <c r="B72" s="68">
        <v>4000</v>
      </c>
      <c r="C72" s="63"/>
      <c r="D72" s="63"/>
      <c r="E72" s="63"/>
      <c r="F72" s="64"/>
      <c r="G72" s="65"/>
      <c r="H72" s="66"/>
      <c r="I72" s="79"/>
      <c r="J72" s="79"/>
      <c r="K72" s="79"/>
      <c r="L72" s="79"/>
      <c r="N72" s="50"/>
      <c r="R72" s="39"/>
      <c r="S72" s="40"/>
      <c r="T72" s="36">
        <f t="shared" si="0"/>
        <v>4000</v>
      </c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</row>
    <row r="73" spans="2:41" ht="16.5" customHeight="1" x14ac:dyDescent="0.2">
      <c r="B73" s="68">
        <v>4100</v>
      </c>
      <c r="C73" s="63"/>
      <c r="D73" s="63"/>
      <c r="E73" s="63"/>
      <c r="F73" s="64"/>
      <c r="G73" s="65"/>
      <c r="H73" s="66"/>
      <c r="I73" s="79"/>
      <c r="J73" s="79"/>
      <c r="K73" s="79"/>
      <c r="L73" s="79"/>
      <c r="N73" s="50"/>
      <c r="R73" s="39"/>
      <c r="S73" s="40"/>
      <c r="T73" s="36">
        <f t="shared" si="0"/>
        <v>4100</v>
      </c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</row>
    <row r="74" spans="2:41" ht="16.5" customHeight="1" x14ac:dyDescent="0.2">
      <c r="B74" s="68">
        <v>4200</v>
      </c>
      <c r="C74" s="63"/>
      <c r="D74" s="63"/>
      <c r="E74" s="63"/>
      <c r="F74" s="64"/>
      <c r="G74" s="65"/>
      <c r="H74" s="66"/>
      <c r="I74" s="79"/>
      <c r="J74" s="79"/>
      <c r="K74" s="79"/>
      <c r="L74" s="79"/>
      <c r="N74" s="50"/>
      <c r="R74" s="39"/>
      <c r="S74" s="40"/>
      <c r="T74" s="36">
        <f t="shared" si="0"/>
        <v>4200</v>
      </c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</row>
    <row r="75" spans="2:41" ht="16.5" customHeight="1" x14ac:dyDescent="0.2">
      <c r="B75" s="68">
        <v>4300</v>
      </c>
      <c r="C75" s="63"/>
      <c r="D75" s="63"/>
      <c r="E75" s="63"/>
      <c r="F75" s="64"/>
      <c r="G75" s="65"/>
      <c r="H75" s="66"/>
      <c r="I75" s="79"/>
      <c r="J75" s="79"/>
      <c r="K75" s="79"/>
      <c r="L75" s="79"/>
      <c r="N75" s="50"/>
      <c r="R75" s="39"/>
      <c r="S75" s="40"/>
      <c r="T75" s="36">
        <f t="shared" si="0"/>
        <v>4300</v>
      </c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</row>
    <row r="76" spans="2:41" ht="16.5" customHeight="1" x14ac:dyDescent="0.2">
      <c r="B76" s="68">
        <v>4400</v>
      </c>
      <c r="C76" s="63"/>
      <c r="D76" s="63"/>
      <c r="E76" s="63"/>
      <c r="F76" s="64"/>
      <c r="G76" s="65"/>
      <c r="H76" s="66"/>
      <c r="I76" s="79"/>
      <c r="J76" s="79"/>
      <c r="K76" s="79"/>
      <c r="L76" s="79"/>
      <c r="N76" s="50"/>
      <c r="R76" s="39"/>
      <c r="S76" s="40"/>
      <c r="T76" s="36">
        <f t="shared" si="0"/>
        <v>4400</v>
      </c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</row>
    <row r="77" spans="2:41" ht="16.5" customHeight="1" x14ac:dyDescent="0.2">
      <c r="B77" s="68">
        <v>4500</v>
      </c>
      <c r="C77" s="63"/>
      <c r="D77" s="63"/>
      <c r="E77" s="63"/>
      <c r="F77" s="64"/>
      <c r="G77" s="65"/>
      <c r="H77" s="66"/>
      <c r="I77" s="79"/>
      <c r="J77" s="79"/>
      <c r="K77" s="79"/>
      <c r="L77" s="79"/>
      <c r="N77" s="50"/>
      <c r="R77" s="39"/>
      <c r="S77" s="40"/>
      <c r="T77" s="36">
        <f t="shared" si="0"/>
        <v>4500</v>
      </c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</row>
    <row r="78" spans="2:41" ht="16.5" customHeight="1" x14ac:dyDescent="0.2">
      <c r="B78" s="68">
        <v>4600</v>
      </c>
      <c r="C78" s="63"/>
      <c r="D78" s="63"/>
      <c r="E78" s="63"/>
      <c r="F78" s="64"/>
      <c r="G78" s="65"/>
      <c r="H78" s="66"/>
      <c r="I78" s="79"/>
      <c r="J78" s="79"/>
      <c r="K78" s="79"/>
      <c r="L78" s="79"/>
      <c r="N78" s="50"/>
      <c r="R78" s="39"/>
      <c r="S78" s="40"/>
      <c r="T78" s="36">
        <f t="shared" si="0"/>
        <v>4600</v>
      </c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</row>
    <row r="79" spans="2:41" ht="16.5" customHeight="1" x14ac:dyDescent="0.2">
      <c r="B79" s="68">
        <v>4700</v>
      </c>
      <c r="C79" s="63"/>
      <c r="D79" s="63"/>
      <c r="E79" s="63"/>
      <c r="F79" s="64"/>
      <c r="G79" s="65"/>
      <c r="H79" s="66"/>
      <c r="I79" s="79"/>
      <c r="J79" s="79"/>
      <c r="K79" s="79"/>
      <c r="L79" s="79"/>
      <c r="N79" s="50"/>
      <c r="R79" s="39"/>
      <c r="S79" s="40"/>
      <c r="T79" s="36">
        <f t="shared" si="0"/>
        <v>4700</v>
      </c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</row>
    <row r="80" spans="2:41" ht="16.5" customHeight="1" x14ac:dyDescent="0.2">
      <c r="B80" s="68">
        <v>4800</v>
      </c>
      <c r="C80" s="63"/>
      <c r="D80" s="63"/>
      <c r="E80" s="63"/>
      <c r="F80" s="64"/>
      <c r="G80" s="65"/>
      <c r="H80" s="66"/>
      <c r="I80" s="79"/>
      <c r="J80" s="79"/>
      <c r="K80" s="79"/>
      <c r="L80" s="79"/>
      <c r="N80" s="50"/>
      <c r="R80" s="39"/>
      <c r="S80" s="40"/>
      <c r="T80" s="36">
        <f t="shared" si="0"/>
        <v>4800</v>
      </c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</row>
    <row r="81" spans="2:41" ht="16.5" customHeight="1" x14ac:dyDescent="0.2">
      <c r="B81" s="68">
        <v>4900</v>
      </c>
      <c r="C81" s="63"/>
      <c r="D81" s="63"/>
      <c r="E81" s="63"/>
      <c r="F81" s="64"/>
      <c r="G81" s="65"/>
      <c r="H81" s="66"/>
      <c r="I81" s="79"/>
      <c r="J81" s="79"/>
      <c r="K81" s="79"/>
      <c r="L81" s="79"/>
      <c r="N81" s="50"/>
      <c r="R81" s="39"/>
      <c r="S81" s="40"/>
      <c r="T81" s="36">
        <f t="shared" si="0"/>
        <v>4900</v>
      </c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</row>
    <row r="82" spans="2:41" ht="16.5" customHeight="1" x14ac:dyDescent="0.2">
      <c r="B82" s="68">
        <v>5000</v>
      </c>
      <c r="C82" s="63"/>
      <c r="D82" s="63"/>
      <c r="E82" s="63"/>
      <c r="F82" s="64"/>
      <c r="G82" s="65"/>
      <c r="H82" s="66"/>
      <c r="I82" s="79"/>
      <c r="J82" s="79"/>
      <c r="K82" s="79"/>
      <c r="L82" s="79"/>
      <c r="N82" s="50"/>
      <c r="R82" s="41"/>
      <c r="S82" s="42"/>
      <c r="T82" s="36">
        <f t="shared" si="0"/>
        <v>5000</v>
      </c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</row>
    <row r="83" spans="2:41" ht="16.5" customHeight="1" x14ac:dyDescent="0.2">
      <c r="B83" s="68">
        <v>5100</v>
      </c>
      <c r="C83" s="63"/>
      <c r="D83" s="63"/>
      <c r="E83" s="63"/>
      <c r="F83" s="64"/>
      <c r="G83" s="65"/>
      <c r="H83" s="66"/>
      <c r="I83" s="79"/>
      <c r="J83" s="79"/>
      <c r="K83" s="79"/>
      <c r="L83" s="79"/>
      <c r="N83" s="50"/>
    </row>
    <row r="84" spans="2:41" ht="16.5" customHeight="1" x14ac:dyDescent="0.2">
      <c r="B84" s="68">
        <v>5200</v>
      </c>
      <c r="C84" s="63"/>
      <c r="D84" s="63"/>
      <c r="E84" s="63"/>
      <c r="F84" s="64"/>
      <c r="G84" s="65"/>
      <c r="H84" s="66"/>
      <c r="I84" s="79"/>
      <c r="J84" s="79"/>
      <c r="K84" s="79"/>
      <c r="L84" s="79"/>
      <c r="N84" s="50"/>
    </row>
    <row r="85" spans="2:41" ht="16.5" customHeight="1" x14ac:dyDescent="0.2">
      <c r="B85" s="68">
        <v>5300</v>
      </c>
      <c r="C85" s="63"/>
      <c r="D85" s="63"/>
      <c r="E85" s="63"/>
      <c r="F85" s="64"/>
      <c r="G85" s="65"/>
      <c r="H85" s="66"/>
      <c r="I85" s="79"/>
      <c r="J85" s="79"/>
      <c r="K85" s="79"/>
      <c r="L85" s="79"/>
      <c r="N85" s="50"/>
    </row>
    <row r="86" spans="2:41" ht="16.5" customHeight="1" x14ac:dyDescent="0.2">
      <c r="B86" s="68">
        <v>5400</v>
      </c>
      <c r="C86" s="63"/>
      <c r="D86" s="63"/>
      <c r="E86" s="63"/>
      <c r="F86" s="64"/>
      <c r="G86" s="65"/>
      <c r="H86" s="66"/>
      <c r="I86" s="79"/>
      <c r="J86" s="79"/>
      <c r="K86" s="79"/>
      <c r="L86" s="79"/>
      <c r="N86" s="50"/>
    </row>
    <row r="87" spans="2:41" ht="16.5" customHeight="1" x14ac:dyDescent="0.2">
      <c r="B87" s="68">
        <v>5500</v>
      </c>
      <c r="C87" s="63"/>
      <c r="D87" s="63"/>
      <c r="E87" s="63"/>
      <c r="F87" s="64"/>
      <c r="G87" s="65"/>
      <c r="H87" s="66"/>
      <c r="I87" s="79"/>
      <c r="J87" s="79"/>
      <c r="K87" s="79"/>
      <c r="L87" s="79"/>
      <c r="N87" s="50"/>
    </row>
    <row r="88" spans="2:41" ht="16.5" customHeight="1" x14ac:dyDescent="0.2">
      <c r="B88" s="68">
        <v>5600</v>
      </c>
      <c r="C88" s="63"/>
      <c r="D88" s="63"/>
      <c r="E88" s="63"/>
      <c r="F88" s="64"/>
      <c r="G88" s="65"/>
      <c r="H88" s="66"/>
      <c r="I88" s="79"/>
      <c r="J88" s="79"/>
      <c r="K88" s="79"/>
      <c r="L88" s="79"/>
      <c r="N88" s="50"/>
    </row>
    <row r="89" spans="2:41" ht="16.5" customHeight="1" x14ac:dyDescent="0.2">
      <c r="B89" s="68">
        <v>5700</v>
      </c>
      <c r="C89" s="63"/>
      <c r="D89" s="63"/>
      <c r="E89" s="63"/>
      <c r="F89" s="64"/>
      <c r="G89" s="65"/>
      <c r="H89" s="66"/>
      <c r="I89" s="79"/>
      <c r="J89" s="79"/>
      <c r="K89" s="79"/>
      <c r="L89" s="79"/>
      <c r="N89" s="50"/>
    </row>
    <row r="90" spans="2:41" ht="16.5" customHeight="1" x14ac:dyDescent="0.2">
      <c r="B90" s="68">
        <v>5800</v>
      </c>
      <c r="C90" s="63"/>
      <c r="D90" s="63"/>
      <c r="E90" s="63"/>
      <c r="F90" s="64"/>
      <c r="G90" s="65"/>
      <c r="H90" s="66"/>
      <c r="I90" s="79"/>
      <c r="J90" s="79"/>
      <c r="K90" s="79"/>
      <c r="L90" s="79"/>
      <c r="N90" s="50"/>
    </row>
    <row r="91" spans="2:41" ht="16.5" customHeight="1" x14ac:dyDescent="0.2">
      <c r="B91" s="68">
        <v>5900</v>
      </c>
      <c r="C91" s="63"/>
      <c r="D91" s="63"/>
      <c r="E91" s="63"/>
      <c r="F91" s="64"/>
      <c r="G91" s="65"/>
      <c r="H91" s="66"/>
      <c r="I91" s="79"/>
      <c r="J91" s="79"/>
      <c r="K91" s="79"/>
      <c r="L91" s="79"/>
      <c r="N91" s="50"/>
    </row>
    <row r="92" spans="2:41" ht="16.5" customHeight="1" x14ac:dyDescent="0.2">
      <c r="B92" s="68">
        <v>6000</v>
      </c>
      <c r="C92" s="63"/>
      <c r="D92" s="63"/>
      <c r="E92" s="63"/>
      <c r="F92" s="64"/>
      <c r="G92" s="65"/>
      <c r="H92" s="66"/>
      <c r="I92" s="79"/>
      <c r="J92" s="79"/>
      <c r="K92" s="79"/>
      <c r="L92" s="79"/>
      <c r="N92" s="50"/>
    </row>
    <row r="93" spans="2:41" ht="16.5" customHeight="1" x14ac:dyDescent="0.2">
      <c r="B93" s="68">
        <v>6100</v>
      </c>
      <c r="C93" s="63"/>
      <c r="D93" s="63"/>
      <c r="E93" s="63"/>
      <c r="F93" s="64"/>
      <c r="G93" s="65"/>
      <c r="H93" s="66"/>
      <c r="I93" s="79"/>
      <c r="J93" s="79"/>
      <c r="K93" s="79"/>
      <c r="L93" s="79"/>
      <c r="N93" s="50"/>
    </row>
    <row r="94" spans="2:41" ht="16.5" customHeight="1" x14ac:dyDescent="0.2">
      <c r="B94" s="68">
        <v>6200</v>
      </c>
      <c r="C94" s="63"/>
      <c r="D94" s="63"/>
      <c r="E94" s="63"/>
      <c r="F94" s="64"/>
      <c r="G94" s="65"/>
      <c r="H94" s="66"/>
      <c r="I94" s="79"/>
      <c r="J94" s="79"/>
      <c r="K94" s="79"/>
      <c r="L94" s="79"/>
      <c r="N94" s="50"/>
    </row>
    <row r="95" spans="2:41" ht="16.5" customHeight="1" x14ac:dyDescent="0.2">
      <c r="B95" s="68">
        <v>6300</v>
      </c>
      <c r="C95" s="63"/>
      <c r="D95" s="63"/>
      <c r="E95" s="63"/>
      <c r="F95" s="64"/>
      <c r="G95" s="65"/>
      <c r="H95" s="66"/>
      <c r="I95" s="79"/>
      <c r="J95" s="79"/>
      <c r="K95" s="79"/>
      <c r="L95" s="79"/>
      <c r="N95" s="50"/>
    </row>
    <row r="96" spans="2:41" ht="16.5" customHeight="1" x14ac:dyDescent="0.2">
      <c r="B96" s="68">
        <v>6400</v>
      </c>
      <c r="C96" s="63"/>
      <c r="D96" s="63"/>
      <c r="E96" s="63"/>
      <c r="F96" s="64"/>
      <c r="G96" s="65"/>
      <c r="H96" s="66"/>
      <c r="I96" s="79"/>
      <c r="J96" s="79"/>
      <c r="K96" s="79"/>
      <c r="L96" s="79"/>
      <c r="N96" s="50"/>
    </row>
    <row r="97" spans="2:14" ht="16.5" customHeight="1" x14ac:dyDescent="0.2">
      <c r="B97" s="68">
        <v>6500</v>
      </c>
      <c r="C97" s="63"/>
      <c r="D97" s="63"/>
      <c r="E97" s="63"/>
      <c r="F97" s="64"/>
      <c r="G97" s="65"/>
      <c r="H97" s="66"/>
      <c r="I97" s="79"/>
      <c r="J97" s="79"/>
      <c r="K97" s="79"/>
      <c r="L97" s="79"/>
      <c r="N97" s="50"/>
    </row>
    <row r="98" spans="2:14" ht="16.5" customHeight="1" x14ac:dyDescent="0.2">
      <c r="B98" s="68">
        <v>6600</v>
      </c>
      <c r="C98" s="63"/>
      <c r="D98" s="63"/>
      <c r="E98" s="63"/>
      <c r="F98" s="64"/>
      <c r="G98" s="65"/>
      <c r="H98" s="66"/>
      <c r="I98" s="79"/>
      <c r="J98" s="79"/>
      <c r="K98" s="79"/>
      <c r="L98" s="79"/>
      <c r="N98" s="50"/>
    </row>
    <row r="99" spans="2:14" ht="16.5" customHeight="1" x14ac:dyDescent="0.2">
      <c r="B99" s="68">
        <v>6700</v>
      </c>
      <c r="C99" s="63"/>
      <c r="D99" s="63"/>
      <c r="E99" s="63"/>
      <c r="F99" s="64"/>
      <c r="G99" s="65"/>
      <c r="H99" s="66"/>
      <c r="I99" s="79"/>
      <c r="J99" s="79"/>
      <c r="K99" s="79"/>
      <c r="L99" s="79"/>
      <c r="N99" s="50"/>
    </row>
    <row r="100" spans="2:14" ht="16.5" customHeight="1" x14ac:dyDescent="0.2">
      <c r="B100" s="68">
        <v>6800</v>
      </c>
      <c r="C100" s="63"/>
      <c r="D100" s="63"/>
      <c r="E100" s="63"/>
      <c r="F100" s="64"/>
      <c r="G100" s="65"/>
      <c r="H100" s="66"/>
      <c r="I100" s="79"/>
      <c r="J100" s="79"/>
      <c r="K100" s="79"/>
      <c r="L100" s="79"/>
      <c r="N100" s="50"/>
    </row>
    <row r="101" spans="2:14" ht="16.5" customHeight="1" x14ac:dyDescent="0.2">
      <c r="B101" s="68">
        <v>6900</v>
      </c>
      <c r="C101" s="63"/>
      <c r="D101" s="63"/>
      <c r="E101" s="63"/>
      <c r="F101" s="64"/>
      <c r="G101" s="65"/>
      <c r="H101" s="66"/>
      <c r="I101" s="79"/>
      <c r="J101" s="79"/>
      <c r="K101" s="79"/>
      <c r="L101" s="79"/>
      <c r="N101" s="50"/>
    </row>
    <row r="102" spans="2:14" ht="16.5" customHeight="1" x14ac:dyDescent="0.2">
      <c r="B102" s="68">
        <v>7000</v>
      </c>
      <c r="C102" s="63"/>
      <c r="D102" s="63"/>
      <c r="E102" s="63"/>
      <c r="F102" s="64"/>
      <c r="G102" s="65"/>
      <c r="H102" s="66"/>
      <c r="I102" s="79"/>
      <c r="J102" s="79"/>
      <c r="K102" s="79"/>
      <c r="L102" s="79"/>
      <c r="N102" s="50"/>
    </row>
    <row r="103" spans="2:14" ht="16.5" customHeight="1" x14ac:dyDescent="0.2">
      <c r="B103" s="68">
        <v>7100</v>
      </c>
      <c r="C103" s="63"/>
      <c r="D103" s="63"/>
      <c r="E103" s="63"/>
      <c r="F103" s="64"/>
      <c r="G103" s="65"/>
      <c r="H103" s="66"/>
      <c r="I103" s="79"/>
      <c r="J103" s="79"/>
      <c r="K103" s="79"/>
      <c r="L103" s="79"/>
      <c r="N103" s="50"/>
    </row>
    <row r="104" spans="2:14" ht="16.5" customHeight="1" x14ac:dyDescent="0.2">
      <c r="B104" s="68">
        <v>7200</v>
      </c>
      <c r="C104" s="63"/>
      <c r="D104" s="63"/>
      <c r="E104" s="63"/>
      <c r="F104" s="64"/>
      <c r="G104" s="65"/>
      <c r="H104" s="66"/>
      <c r="I104" s="79"/>
      <c r="J104" s="79"/>
      <c r="K104" s="79"/>
      <c r="L104" s="79"/>
      <c r="N104" s="50"/>
    </row>
    <row r="105" spans="2:14" ht="16.5" customHeight="1" x14ac:dyDescent="0.2">
      <c r="B105" s="68">
        <v>7300</v>
      </c>
      <c r="C105" s="63"/>
      <c r="D105" s="63"/>
      <c r="E105" s="63"/>
      <c r="F105" s="64"/>
      <c r="G105" s="65"/>
      <c r="H105" s="66"/>
      <c r="I105" s="79"/>
      <c r="J105" s="79"/>
      <c r="K105" s="79"/>
      <c r="L105" s="79"/>
      <c r="N105" s="50"/>
    </row>
    <row r="106" spans="2:14" ht="16.5" customHeight="1" x14ac:dyDescent="0.2">
      <c r="B106" s="68">
        <v>7400</v>
      </c>
      <c r="C106" s="63"/>
      <c r="D106" s="63"/>
      <c r="E106" s="63"/>
      <c r="F106" s="64"/>
      <c r="G106" s="65"/>
      <c r="H106" s="66"/>
      <c r="I106" s="79"/>
      <c r="J106" s="79"/>
      <c r="K106" s="79"/>
      <c r="L106" s="79"/>
      <c r="N106" s="50"/>
    </row>
    <row r="107" spans="2:14" ht="16.5" customHeight="1" x14ac:dyDescent="0.2">
      <c r="B107" s="68">
        <v>7500</v>
      </c>
      <c r="C107" s="63"/>
      <c r="D107" s="63"/>
      <c r="E107" s="63"/>
      <c r="F107" s="64"/>
      <c r="G107" s="65"/>
      <c r="H107" s="66"/>
      <c r="I107" s="79"/>
      <c r="J107" s="79"/>
      <c r="K107" s="79"/>
      <c r="L107" s="79"/>
      <c r="N107" s="50"/>
    </row>
    <row r="108" spans="2:14" ht="16.5" customHeight="1" x14ac:dyDescent="0.2">
      <c r="B108" s="68">
        <v>7600</v>
      </c>
      <c r="C108" s="63"/>
      <c r="D108" s="63"/>
      <c r="E108" s="63"/>
      <c r="F108" s="64"/>
      <c r="G108" s="65"/>
      <c r="H108" s="66"/>
      <c r="I108" s="79"/>
      <c r="J108" s="79"/>
      <c r="K108" s="79"/>
      <c r="L108" s="79"/>
      <c r="N108" s="50"/>
    </row>
    <row r="109" spans="2:14" ht="16.5" customHeight="1" x14ac:dyDescent="0.2">
      <c r="B109" s="68">
        <v>7700</v>
      </c>
      <c r="C109" s="63"/>
      <c r="D109" s="63"/>
      <c r="E109" s="63"/>
      <c r="F109" s="64"/>
      <c r="G109" s="65"/>
      <c r="H109" s="66"/>
      <c r="I109" s="79"/>
      <c r="J109" s="79"/>
      <c r="K109" s="79"/>
      <c r="L109" s="79"/>
      <c r="N109" s="50"/>
    </row>
    <row r="110" spans="2:14" ht="16.5" customHeight="1" x14ac:dyDescent="0.2">
      <c r="B110" s="68">
        <v>7800</v>
      </c>
      <c r="C110" s="63"/>
      <c r="D110" s="63"/>
      <c r="E110" s="63"/>
      <c r="F110" s="64"/>
      <c r="G110" s="65"/>
      <c r="H110" s="66"/>
      <c r="I110" s="79"/>
      <c r="J110" s="79"/>
      <c r="K110" s="79"/>
      <c r="L110" s="79"/>
      <c r="N110" s="50"/>
    </row>
    <row r="111" spans="2:14" ht="16.5" customHeight="1" x14ac:dyDescent="0.2">
      <c r="B111" s="68">
        <v>7900</v>
      </c>
      <c r="C111" s="63"/>
      <c r="D111" s="63"/>
      <c r="E111" s="63"/>
      <c r="F111" s="64"/>
      <c r="G111" s="65"/>
      <c r="H111" s="66"/>
      <c r="I111" s="79"/>
      <c r="J111" s="79"/>
      <c r="K111" s="79"/>
      <c r="L111" s="79"/>
      <c r="N111" s="50"/>
    </row>
    <row r="112" spans="2:14" ht="16.5" customHeight="1" x14ac:dyDescent="0.2">
      <c r="B112" s="68">
        <v>8000</v>
      </c>
      <c r="C112" s="63"/>
      <c r="D112" s="63"/>
      <c r="E112" s="63"/>
      <c r="F112" s="64"/>
      <c r="G112" s="65"/>
      <c r="H112" s="66"/>
      <c r="I112" s="79"/>
      <c r="J112" s="79"/>
      <c r="K112" s="79"/>
      <c r="L112" s="79"/>
      <c r="N112" s="50"/>
    </row>
    <row r="113" spans="2:14" ht="16.5" customHeight="1" x14ac:dyDescent="0.2">
      <c r="B113" s="68">
        <v>8100</v>
      </c>
      <c r="C113" s="63"/>
      <c r="D113" s="63"/>
      <c r="E113" s="63"/>
      <c r="F113" s="64"/>
      <c r="G113" s="65"/>
      <c r="H113" s="66"/>
      <c r="I113" s="79"/>
      <c r="J113" s="79"/>
      <c r="K113" s="79"/>
      <c r="L113" s="79"/>
      <c r="N113" s="50"/>
    </row>
    <row r="114" spans="2:14" ht="16.5" customHeight="1" x14ac:dyDescent="0.2">
      <c r="B114" s="68">
        <v>8200</v>
      </c>
      <c r="C114" s="63"/>
      <c r="D114" s="63"/>
      <c r="E114" s="63"/>
      <c r="F114" s="64"/>
      <c r="G114" s="65"/>
      <c r="H114" s="66"/>
      <c r="I114" s="79"/>
      <c r="J114" s="79"/>
      <c r="K114" s="79"/>
      <c r="L114" s="79"/>
      <c r="N114" s="50"/>
    </row>
    <row r="115" spans="2:14" ht="16.5" customHeight="1" x14ac:dyDescent="0.2">
      <c r="B115" s="68">
        <v>8300</v>
      </c>
      <c r="C115" s="63"/>
      <c r="D115" s="63"/>
      <c r="E115" s="63"/>
      <c r="F115" s="64"/>
      <c r="G115" s="65"/>
      <c r="H115" s="66"/>
      <c r="I115" s="79"/>
      <c r="J115" s="79"/>
      <c r="K115" s="79"/>
      <c r="L115" s="79"/>
      <c r="N115" s="50"/>
    </row>
    <row r="116" spans="2:14" ht="16.5" customHeight="1" x14ac:dyDescent="0.2">
      <c r="B116" s="68">
        <v>8400</v>
      </c>
      <c r="C116" s="63"/>
      <c r="D116" s="63"/>
      <c r="E116" s="63"/>
      <c r="F116" s="64"/>
      <c r="G116" s="65"/>
      <c r="H116" s="66"/>
      <c r="I116" s="79"/>
      <c r="J116" s="79"/>
      <c r="K116" s="79"/>
      <c r="L116" s="79"/>
      <c r="N116" s="50"/>
    </row>
    <row r="117" spans="2:14" ht="16.5" customHeight="1" x14ac:dyDescent="0.2">
      <c r="B117" s="68">
        <v>8500</v>
      </c>
      <c r="C117" s="63"/>
      <c r="D117" s="63"/>
      <c r="E117" s="63"/>
      <c r="F117" s="64"/>
      <c r="G117" s="65"/>
      <c r="H117" s="66"/>
      <c r="I117" s="79"/>
      <c r="J117" s="79"/>
      <c r="K117" s="79"/>
      <c r="L117" s="79"/>
      <c r="N117" s="50"/>
    </row>
    <row r="118" spans="2:14" ht="16.5" customHeight="1" x14ac:dyDescent="0.2">
      <c r="B118" s="68">
        <v>8600</v>
      </c>
      <c r="C118" s="63"/>
      <c r="D118" s="63"/>
      <c r="E118" s="63"/>
      <c r="F118" s="64"/>
      <c r="G118" s="65"/>
      <c r="H118" s="66"/>
      <c r="I118" s="79"/>
      <c r="J118" s="79"/>
      <c r="K118" s="79"/>
      <c r="L118" s="79"/>
      <c r="N118" s="50"/>
    </row>
    <row r="119" spans="2:14" ht="16.5" customHeight="1" x14ac:dyDescent="0.2">
      <c r="B119" s="68">
        <v>8700</v>
      </c>
      <c r="C119" s="63"/>
      <c r="D119" s="63"/>
      <c r="E119" s="63"/>
      <c r="F119" s="64"/>
      <c r="G119" s="65"/>
      <c r="H119" s="66"/>
      <c r="I119" s="79"/>
      <c r="J119" s="79"/>
      <c r="K119" s="79"/>
      <c r="L119" s="79"/>
      <c r="N119" s="50"/>
    </row>
    <row r="120" spans="2:14" ht="16.5" customHeight="1" x14ac:dyDescent="0.2">
      <c r="B120" s="68">
        <v>8800</v>
      </c>
      <c r="C120" s="63"/>
      <c r="D120" s="63"/>
      <c r="E120" s="63"/>
      <c r="F120" s="64"/>
      <c r="G120" s="65"/>
      <c r="H120" s="66"/>
      <c r="I120" s="79"/>
      <c r="J120" s="79"/>
      <c r="K120" s="79"/>
      <c r="L120" s="79"/>
      <c r="N120" s="50"/>
    </row>
    <row r="121" spans="2:14" ht="16.5" customHeight="1" x14ac:dyDescent="0.2">
      <c r="B121" s="68">
        <v>8900</v>
      </c>
      <c r="C121" s="63"/>
      <c r="D121" s="63"/>
      <c r="E121" s="63"/>
      <c r="F121" s="64"/>
      <c r="G121" s="65"/>
      <c r="H121" s="66"/>
      <c r="I121" s="79"/>
      <c r="J121" s="79"/>
      <c r="K121" s="79"/>
      <c r="L121" s="79"/>
      <c r="N121" s="50"/>
    </row>
    <row r="122" spans="2:14" ht="16.5" customHeight="1" x14ac:dyDescent="0.2">
      <c r="B122" s="68">
        <v>9000</v>
      </c>
      <c r="C122" s="63"/>
      <c r="D122" s="63"/>
      <c r="E122" s="63"/>
      <c r="F122" s="64"/>
      <c r="G122" s="65"/>
      <c r="H122" s="66"/>
      <c r="I122" s="79"/>
      <c r="J122" s="79"/>
      <c r="K122" s="79"/>
      <c r="L122" s="79"/>
      <c r="N122" s="50"/>
    </row>
    <row r="123" spans="2:14" ht="16.5" customHeight="1" x14ac:dyDescent="0.2">
      <c r="B123" s="68">
        <v>9100</v>
      </c>
      <c r="C123" s="63"/>
      <c r="D123" s="63"/>
      <c r="E123" s="63"/>
      <c r="F123" s="64"/>
      <c r="G123" s="65"/>
      <c r="H123" s="66"/>
      <c r="I123" s="79"/>
      <c r="J123" s="79"/>
      <c r="K123" s="79"/>
      <c r="L123" s="79"/>
      <c r="N123" s="50"/>
    </row>
    <row r="124" spans="2:14" ht="16.5" customHeight="1" x14ac:dyDescent="0.2">
      <c r="B124" s="68">
        <v>9200</v>
      </c>
      <c r="C124" s="63"/>
      <c r="D124" s="63"/>
      <c r="E124" s="63"/>
      <c r="F124" s="64"/>
      <c r="G124" s="65"/>
      <c r="H124" s="66"/>
      <c r="I124" s="79"/>
      <c r="J124" s="79"/>
      <c r="K124" s="79"/>
      <c r="L124" s="79"/>
      <c r="N124" s="50"/>
    </row>
    <row r="125" spans="2:14" ht="16.5" customHeight="1" x14ac:dyDescent="0.2">
      <c r="B125" s="68">
        <v>9300</v>
      </c>
      <c r="C125" s="63"/>
      <c r="D125" s="63"/>
      <c r="E125" s="63"/>
      <c r="F125" s="64"/>
      <c r="G125" s="65"/>
      <c r="H125" s="66"/>
      <c r="I125" s="79"/>
      <c r="J125" s="79"/>
      <c r="K125" s="79"/>
      <c r="L125" s="79"/>
      <c r="N125" s="50"/>
    </row>
    <row r="126" spans="2:14" ht="16.5" customHeight="1" x14ac:dyDescent="0.2">
      <c r="B126" s="68">
        <v>9400</v>
      </c>
      <c r="C126" s="63"/>
      <c r="D126" s="63"/>
      <c r="E126" s="63"/>
      <c r="F126" s="64"/>
      <c r="G126" s="65"/>
      <c r="H126" s="66"/>
      <c r="I126" s="79"/>
      <c r="J126" s="79"/>
      <c r="K126" s="79"/>
      <c r="L126" s="79"/>
      <c r="N126" s="50"/>
    </row>
    <row r="127" spans="2:14" ht="16.5" customHeight="1" x14ac:dyDescent="0.2">
      <c r="B127" s="68">
        <v>9500</v>
      </c>
      <c r="C127" s="63"/>
      <c r="D127" s="63"/>
      <c r="E127" s="63"/>
      <c r="F127" s="64"/>
      <c r="G127" s="65"/>
      <c r="H127" s="66"/>
      <c r="I127" s="79"/>
      <c r="J127" s="79"/>
      <c r="K127" s="79"/>
      <c r="L127" s="79"/>
      <c r="N127" s="50"/>
    </row>
    <row r="128" spans="2:14" ht="16.5" customHeight="1" x14ac:dyDescent="0.2">
      <c r="B128" s="68">
        <v>9600</v>
      </c>
      <c r="C128" s="63"/>
      <c r="D128" s="63"/>
      <c r="E128" s="63"/>
      <c r="F128" s="64"/>
      <c r="G128" s="65"/>
      <c r="H128" s="66"/>
      <c r="I128" s="79"/>
      <c r="J128" s="79"/>
      <c r="K128" s="79"/>
      <c r="L128" s="79"/>
      <c r="N128" s="50"/>
    </row>
    <row r="129" spans="2:14" ht="16.5" customHeight="1" x14ac:dyDescent="0.2">
      <c r="B129" s="68">
        <v>9700</v>
      </c>
      <c r="C129" s="63"/>
      <c r="D129" s="63"/>
      <c r="E129" s="63"/>
      <c r="F129" s="64"/>
      <c r="G129" s="65"/>
      <c r="H129" s="66"/>
      <c r="I129" s="79"/>
      <c r="J129" s="79"/>
      <c r="K129" s="79"/>
      <c r="L129" s="79"/>
      <c r="N129" s="50"/>
    </row>
    <row r="130" spans="2:14" ht="16.5" customHeight="1" x14ac:dyDescent="0.2">
      <c r="B130" s="68">
        <v>9800</v>
      </c>
      <c r="C130" s="63"/>
      <c r="D130" s="63"/>
      <c r="E130" s="63"/>
      <c r="F130" s="64"/>
      <c r="G130" s="65"/>
      <c r="H130" s="66"/>
      <c r="I130" s="79"/>
      <c r="J130" s="79"/>
      <c r="K130" s="79"/>
      <c r="L130" s="79"/>
      <c r="N130" s="50"/>
    </row>
    <row r="131" spans="2:14" ht="16.5" customHeight="1" x14ac:dyDescent="0.2">
      <c r="B131" s="68">
        <v>9900</v>
      </c>
      <c r="C131" s="63"/>
      <c r="D131" s="63"/>
      <c r="E131" s="63"/>
      <c r="F131" s="64"/>
      <c r="G131" s="65"/>
      <c r="H131" s="66"/>
      <c r="I131" s="79"/>
      <c r="J131" s="79"/>
      <c r="K131" s="79"/>
      <c r="L131" s="79"/>
      <c r="N131" s="50"/>
    </row>
    <row r="132" spans="2:14" ht="16.5" customHeight="1" x14ac:dyDescent="0.2">
      <c r="B132" s="84">
        <v>10000</v>
      </c>
      <c r="C132" s="62"/>
      <c r="D132" s="63"/>
      <c r="E132" s="63"/>
      <c r="F132" s="63"/>
      <c r="G132" s="65"/>
      <c r="H132" s="66"/>
      <c r="I132" s="79"/>
      <c r="J132" s="79"/>
      <c r="K132" s="79"/>
      <c r="L132" s="79"/>
      <c r="N132" s="50"/>
    </row>
    <row r="133" spans="2:14" ht="15.75" x14ac:dyDescent="0.2">
      <c r="B133" s="68">
        <v>10100</v>
      </c>
      <c r="C133" s="63"/>
      <c r="D133" s="63"/>
      <c r="E133" s="63"/>
      <c r="F133" s="64"/>
      <c r="G133" s="65"/>
      <c r="H133" s="66"/>
    </row>
    <row r="134" spans="2:14" ht="15.75" x14ac:dyDescent="0.2">
      <c r="B134" s="68">
        <v>10200</v>
      </c>
      <c r="C134" s="63"/>
      <c r="D134" s="63"/>
      <c r="E134" s="63"/>
      <c r="F134" s="64"/>
      <c r="G134" s="65"/>
      <c r="H134" s="66"/>
    </row>
    <row r="135" spans="2:14" ht="15.75" x14ac:dyDescent="0.2">
      <c r="B135" s="68">
        <v>10300</v>
      </c>
      <c r="C135" s="63"/>
      <c r="D135" s="63"/>
      <c r="E135" s="63"/>
      <c r="F135" s="64"/>
      <c r="G135" s="65"/>
      <c r="H135" s="66"/>
    </row>
    <row r="136" spans="2:14" ht="15.75" x14ac:dyDescent="0.2">
      <c r="B136" s="68">
        <v>10400</v>
      </c>
      <c r="C136" s="63"/>
      <c r="D136" s="63"/>
      <c r="E136" s="63"/>
      <c r="F136" s="64"/>
      <c r="G136" s="65"/>
      <c r="H136" s="66"/>
    </row>
    <row r="137" spans="2:14" ht="15.75" x14ac:dyDescent="0.2">
      <c r="B137" s="68">
        <v>10500</v>
      </c>
      <c r="C137" s="63"/>
      <c r="D137" s="63"/>
      <c r="E137" s="63"/>
      <c r="F137" s="64"/>
      <c r="G137" s="65"/>
      <c r="H137" s="66"/>
    </row>
    <row r="138" spans="2:14" ht="15.75" x14ac:dyDescent="0.2">
      <c r="B138" s="68">
        <v>10600</v>
      </c>
      <c r="C138" s="63"/>
      <c r="D138" s="63"/>
      <c r="E138" s="63"/>
      <c r="F138" s="64"/>
      <c r="G138" s="65"/>
      <c r="H138" s="66"/>
    </row>
    <row r="139" spans="2:14" ht="15.75" x14ac:dyDescent="0.2">
      <c r="B139" s="68">
        <v>10700</v>
      </c>
      <c r="C139" s="63"/>
      <c r="D139" s="63"/>
      <c r="E139" s="63"/>
      <c r="F139" s="64"/>
      <c r="G139" s="65"/>
      <c r="H139" s="66"/>
    </row>
    <row r="140" spans="2:14" ht="15.75" x14ac:dyDescent="0.2">
      <c r="B140" s="68">
        <v>10800</v>
      </c>
      <c r="C140" s="63"/>
      <c r="D140" s="63"/>
      <c r="E140" s="63"/>
      <c r="F140" s="64"/>
      <c r="G140" s="65"/>
      <c r="H140" s="66"/>
    </row>
    <row r="141" spans="2:14" ht="15.75" x14ac:dyDescent="0.2">
      <c r="B141" s="68">
        <v>10900</v>
      </c>
      <c r="C141" s="63"/>
      <c r="D141" s="63"/>
      <c r="E141" s="63"/>
      <c r="F141" s="64"/>
      <c r="G141" s="65"/>
      <c r="H141" s="66"/>
    </row>
    <row r="142" spans="2:14" ht="15.75" x14ac:dyDescent="0.2">
      <c r="B142" s="68">
        <v>11000</v>
      </c>
      <c r="C142" s="63"/>
      <c r="D142" s="63"/>
      <c r="E142" s="63"/>
      <c r="F142" s="64"/>
      <c r="G142" s="65"/>
      <c r="H142" s="66"/>
    </row>
    <row r="143" spans="2:14" ht="15.75" x14ac:dyDescent="0.2">
      <c r="B143" s="68">
        <v>11100</v>
      </c>
      <c r="C143" s="63"/>
      <c r="D143" s="63"/>
      <c r="E143" s="63"/>
      <c r="F143" s="64"/>
      <c r="G143" s="65"/>
      <c r="H143" s="66"/>
    </row>
    <row r="144" spans="2:14" ht="15.75" x14ac:dyDescent="0.2">
      <c r="B144" s="68">
        <v>11200</v>
      </c>
      <c r="C144" s="63"/>
      <c r="D144" s="63"/>
      <c r="E144" s="63"/>
      <c r="F144" s="64"/>
      <c r="G144" s="65"/>
      <c r="H144" s="66"/>
    </row>
    <row r="145" spans="2:8" ht="15.75" x14ac:dyDescent="0.2">
      <c r="B145" s="68">
        <v>11300</v>
      </c>
      <c r="C145" s="63"/>
      <c r="D145" s="63"/>
      <c r="E145" s="63"/>
      <c r="F145" s="64"/>
      <c r="G145" s="65"/>
      <c r="H145" s="66"/>
    </row>
    <row r="146" spans="2:8" ht="15.75" x14ac:dyDescent="0.2">
      <c r="B146" s="68">
        <v>11400</v>
      </c>
      <c r="C146" s="63"/>
      <c r="D146" s="63"/>
      <c r="E146" s="63"/>
      <c r="F146" s="64"/>
      <c r="G146" s="65"/>
      <c r="H146" s="66"/>
    </row>
    <row r="147" spans="2:8" ht="15.75" x14ac:dyDescent="0.2">
      <c r="B147" s="68">
        <v>11500</v>
      </c>
      <c r="C147" s="63"/>
      <c r="D147" s="63"/>
      <c r="E147" s="63"/>
      <c r="F147" s="64"/>
      <c r="G147" s="65"/>
      <c r="H147" s="66"/>
    </row>
    <row r="148" spans="2:8" ht="15.75" x14ac:dyDescent="0.2">
      <c r="B148" s="68">
        <v>11600</v>
      </c>
      <c r="C148" s="63"/>
      <c r="D148" s="63"/>
      <c r="E148" s="63"/>
      <c r="F148" s="64"/>
      <c r="G148" s="65"/>
      <c r="H148" s="66"/>
    </row>
    <row r="149" spans="2:8" ht="15.75" x14ac:dyDescent="0.2">
      <c r="B149" s="68">
        <v>11700</v>
      </c>
      <c r="C149" s="63"/>
      <c r="D149" s="63"/>
      <c r="E149" s="63"/>
      <c r="F149" s="64"/>
      <c r="G149" s="65"/>
      <c r="H149" s="66"/>
    </row>
    <row r="150" spans="2:8" ht="15.75" x14ac:dyDescent="0.2">
      <c r="B150" s="68">
        <v>11800</v>
      </c>
      <c r="C150" s="63"/>
      <c r="D150" s="63"/>
      <c r="E150" s="63"/>
      <c r="F150" s="64"/>
      <c r="G150" s="65"/>
      <c r="H150" s="66"/>
    </row>
    <row r="151" spans="2:8" ht="15.75" x14ac:dyDescent="0.2">
      <c r="B151" s="68">
        <v>11900</v>
      </c>
      <c r="C151" s="63"/>
      <c r="D151" s="63"/>
      <c r="E151" s="63"/>
      <c r="F151" s="64"/>
      <c r="G151" s="65"/>
      <c r="H151" s="66"/>
    </row>
    <row r="152" spans="2:8" ht="15.75" x14ac:dyDescent="0.2">
      <c r="B152" s="68">
        <v>12000</v>
      </c>
      <c r="C152" s="63"/>
      <c r="D152" s="63"/>
      <c r="E152" s="63"/>
      <c r="F152" s="64"/>
      <c r="G152" s="65"/>
      <c r="H152" s="66"/>
    </row>
    <row r="153" spans="2:8" ht="15.75" x14ac:dyDescent="0.2">
      <c r="B153" s="68">
        <v>12100</v>
      </c>
      <c r="C153" s="63"/>
      <c r="D153" s="63"/>
      <c r="E153" s="63"/>
      <c r="F153" s="64"/>
      <c r="G153" s="65"/>
      <c r="H153" s="66"/>
    </row>
    <row r="154" spans="2:8" ht="15.75" x14ac:dyDescent="0.2">
      <c r="B154" s="68">
        <v>12200</v>
      </c>
      <c r="C154" s="63"/>
      <c r="D154" s="63"/>
      <c r="E154" s="63"/>
      <c r="F154" s="64"/>
      <c r="G154" s="65"/>
      <c r="H154" s="66"/>
    </row>
    <row r="155" spans="2:8" ht="15.75" x14ac:dyDescent="0.2">
      <c r="B155" s="68">
        <v>12300</v>
      </c>
      <c r="C155" s="63"/>
      <c r="D155" s="63"/>
      <c r="E155" s="63"/>
      <c r="F155" s="64"/>
      <c r="G155" s="65"/>
      <c r="H155" s="66"/>
    </row>
    <row r="156" spans="2:8" ht="15.75" x14ac:dyDescent="0.2">
      <c r="B156" s="68">
        <v>12400</v>
      </c>
      <c r="C156" s="63"/>
      <c r="D156" s="63"/>
      <c r="E156" s="63"/>
      <c r="F156" s="64"/>
      <c r="G156" s="65"/>
      <c r="H156" s="66"/>
    </row>
    <row r="157" spans="2:8" ht="15.75" x14ac:dyDescent="0.2">
      <c r="B157" s="68">
        <v>12500</v>
      </c>
      <c r="C157" s="63"/>
      <c r="D157" s="63"/>
      <c r="E157" s="63"/>
      <c r="F157" s="64"/>
      <c r="G157" s="65"/>
      <c r="H157" s="66"/>
    </row>
    <row r="158" spans="2:8" ht="15.75" x14ac:dyDescent="0.2">
      <c r="B158" s="68">
        <v>12600</v>
      </c>
      <c r="C158" s="63"/>
      <c r="D158" s="63"/>
      <c r="E158" s="63"/>
      <c r="F158" s="64"/>
      <c r="G158" s="65"/>
      <c r="H158" s="66"/>
    </row>
    <row r="159" spans="2:8" ht="15.75" x14ac:dyDescent="0.2">
      <c r="B159" s="68">
        <v>12700</v>
      </c>
      <c r="C159" s="63"/>
      <c r="D159" s="63"/>
      <c r="E159" s="63"/>
      <c r="F159" s="64"/>
      <c r="G159" s="65"/>
      <c r="H159" s="66"/>
    </row>
    <row r="160" spans="2:8" ht="15.75" x14ac:dyDescent="0.2">
      <c r="B160" s="68">
        <v>12800</v>
      </c>
      <c r="C160" s="63"/>
      <c r="D160" s="63"/>
      <c r="E160" s="63"/>
      <c r="F160" s="64"/>
      <c r="G160" s="65"/>
      <c r="H160" s="66"/>
    </row>
    <row r="161" spans="2:8" ht="15.75" x14ac:dyDescent="0.2">
      <c r="B161" s="68">
        <v>12900</v>
      </c>
      <c r="C161" s="63"/>
      <c r="D161" s="63"/>
      <c r="E161" s="63"/>
      <c r="F161" s="64"/>
      <c r="G161" s="65"/>
      <c r="H161" s="66"/>
    </row>
    <row r="162" spans="2:8" ht="15.75" x14ac:dyDescent="0.2">
      <c r="B162" s="68">
        <v>13000</v>
      </c>
      <c r="C162" s="63"/>
      <c r="D162" s="63"/>
      <c r="E162" s="63"/>
      <c r="F162" s="64"/>
      <c r="G162" s="65"/>
      <c r="H162" s="66"/>
    </row>
    <row r="163" spans="2:8" ht="15.75" x14ac:dyDescent="0.2">
      <c r="B163" s="68">
        <v>13100</v>
      </c>
      <c r="C163" s="63"/>
      <c r="D163" s="63"/>
      <c r="E163" s="63"/>
      <c r="F163" s="64"/>
      <c r="G163" s="65"/>
      <c r="H163" s="66"/>
    </row>
    <row r="164" spans="2:8" ht="15.75" x14ac:dyDescent="0.2">
      <c r="B164" s="68">
        <v>13200</v>
      </c>
      <c r="C164" s="63"/>
      <c r="D164" s="63"/>
      <c r="E164" s="63"/>
      <c r="F164" s="64"/>
      <c r="G164" s="65"/>
      <c r="H164" s="66"/>
    </row>
    <row r="165" spans="2:8" ht="15.75" x14ac:dyDescent="0.2">
      <c r="B165" s="68">
        <v>13300</v>
      </c>
      <c r="C165" s="63"/>
      <c r="D165" s="63"/>
      <c r="E165" s="63"/>
      <c r="F165" s="64"/>
      <c r="G165" s="65"/>
      <c r="H165" s="66"/>
    </row>
    <row r="166" spans="2:8" ht="15.75" x14ac:dyDescent="0.2">
      <c r="B166" s="68">
        <v>13400</v>
      </c>
      <c r="C166" s="63"/>
      <c r="D166" s="63"/>
      <c r="E166" s="63"/>
      <c r="F166" s="64"/>
      <c r="G166" s="65"/>
      <c r="H166" s="66"/>
    </row>
    <row r="167" spans="2:8" ht="15.75" x14ac:dyDescent="0.2">
      <c r="B167" s="68">
        <v>13500</v>
      </c>
      <c r="C167" s="63"/>
      <c r="D167" s="63"/>
      <c r="E167" s="63"/>
      <c r="F167" s="64"/>
      <c r="G167" s="65"/>
      <c r="H167" s="66"/>
    </row>
    <row r="168" spans="2:8" ht="15.75" x14ac:dyDescent="0.2">
      <c r="B168" s="68">
        <v>13600</v>
      </c>
      <c r="C168" s="63"/>
      <c r="D168" s="63"/>
      <c r="E168" s="63"/>
      <c r="F168" s="64"/>
      <c r="G168" s="65"/>
      <c r="H168" s="66"/>
    </row>
    <row r="169" spans="2:8" ht="15.75" x14ac:dyDescent="0.2">
      <c r="B169" s="68">
        <v>13700</v>
      </c>
      <c r="C169" s="63"/>
      <c r="D169" s="63"/>
      <c r="E169" s="63"/>
      <c r="F169" s="64"/>
      <c r="G169" s="65"/>
      <c r="H169" s="66"/>
    </row>
    <row r="170" spans="2:8" ht="15.75" x14ac:dyDescent="0.2">
      <c r="B170" s="68">
        <v>13800</v>
      </c>
      <c r="C170" s="63"/>
      <c r="D170" s="63"/>
      <c r="E170" s="63"/>
      <c r="F170" s="64"/>
      <c r="G170" s="65"/>
      <c r="H170" s="66"/>
    </row>
    <row r="171" spans="2:8" ht="15.75" x14ac:dyDescent="0.2">
      <c r="B171" s="68">
        <v>13900</v>
      </c>
      <c r="C171" s="63"/>
      <c r="D171" s="63"/>
      <c r="E171" s="63"/>
      <c r="F171" s="64"/>
      <c r="G171" s="65"/>
      <c r="H171" s="66"/>
    </row>
    <row r="172" spans="2:8" ht="15.75" x14ac:dyDescent="0.2">
      <c r="B172" s="68">
        <v>14000</v>
      </c>
      <c r="C172" s="63"/>
      <c r="D172" s="63"/>
      <c r="E172" s="63"/>
      <c r="F172" s="64"/>
      <c r="G172" s="65"/>
      <c r="H172" s="66"/>
    </row>
    <row r="173" spans="2:8" ht="15.75" x14ac:dyDescent="0.2">
      <c r="B173" s="68">
        <v>14100</v>
      </c>
      <c r="C173" s="63"/>
      <c r="D173" s="63"/>
      <c r="E173" s="63"/>
      <c r="F173" s="64"/>
      <c r="G173" s="65"/>
      <c r="H173" s="66"/>
    </row>
    <row r="174" spans="2:8" ht="15.75" x14ac:dyDescent="0.2">
      <c r="B174" s="68">
        <v>14200</v>
      </c>
      <c r="C174" s="63"/>
      <c r="D174" s="63"/>
      <c r="E174" s="63"/>
      <c r="F174" s="64"/>
      <c r="G174" s="65"/>
      <c r="H174" s="66"/>
    </row>
    <row r="175" spans="2:8" ht="15.75" x14ac:dyDescent="0.2">
      <c r="B175" s="68">
        <v>14300</v>
      </c>
      <c r="C175" s="63"/>
      <c r="D175" s="63"/>
      <c r="E175" s="63"/>
      <c r="F175" s="64"/>
      <c r="G175" s="65"/>
      <c r="H175" s="66"/>
    </row>
    <row r="176" spans="2:8" ht="15.75" x14ac:dyDescent="0.2">
      <c r="B176" s="68">
        <v>14400</v>
      </c>
      <c r="C176" s="63"/>
      <c r="D176" s="63"/>
      <c r="E176" s="63"/>
      <c r="F176" s="64"/>
      <c r="G176" s="65"/>
      <c r="H176" s="66"/>
    </row>
    <row r="177" spans="2:8" ht="15.75" x14ac:dyDescent="0.2">
      <c r="B177" s="68">
        <v>14500</v>
      </c>
      <c r="C177" s="63"/>
      <c r="D177" s="63"/>
      <c r="E177" s="63"/>
      <c r="F177" s="64"/>
      <c r="G177" s="65"/>
      <c r="H177" s="66"/>
    </row>
    <row r="178" spans="2:8" ht="15.75" x14ac:dyDescent="0.2">
      <c r="B178" s="68">
        <v>14600</v>
      </c>
      <c r="C178" s="63"/>
      <c r="D178" s="63"/>
      <c r="E178" s="63"/>
      <c r="F178" s="64"/>
      <c r="G178" s="65"/>
      <c r="H178" s="66"/>
    </row>
    <row r="179" spans="2:8" ht="15.75" x14ac:dyDescent="0.2">
      <c r="B179" s="68">
        <v>14700</v>
      </c>
      <c r="C179" s="63"/>
      <c r="D179" s="63"/>
      <c r="E179" s="63"/>
      <c r="F179" s="64"/>
      <c r="G179" s="65"/>
      <c r="H179" s="66"/>
    </row>
    <row r="180" spans="2:8" ht="15.75" x14ac:dyDescent="0.2">
      <c r="B180" s="68">
        <v>14800</v>
      </c>
      <c r="C180" s="63"/>
      <c r="D180" s="63"/>
      <c r="E180" s="63"/>
      <c r="F180" s="64"/>
      <c r="G180" s="65"/>
      <c r="H180" s="66"/>
    </row>
    <row r="181" spans="2:8" ht="15.75" x14ac:dyDescent="0.2">
      <c r="B181" s="68">
        <v>14900</v>
      </c>
      <c r="C181" s="63"/>
      <c r="D181" s="63"/>
      <c r="E181" s="63"/>
      <c r="F181" s="64"/>
      <c r="G181" s="65"/>
      <c r="H181" s="66"/>
    </row>
    <row r="182" spans="2:8" ht="15.75" x14ac:dyDescent="0.2">
      <c r="B182" s="69">
        <v>15000</v>
      </c>
      <c r="C182" s="63"/>
      <c r="D182" s="63"/>
      <c r="E182" s="63"/>
      <c r="F182" s="64"/>
      <c r="G182" s="65"/>
      <c r="H182" s="66"/>
    </row>
  </sheetData>
  <mergeCells count="20">
    <mergeCell ref="G30:H30"/>
    <mergeCell ref="C29:F29"/>
    <mergeCell ref="G29:H29"/>
    <mergeCell ref="I29:L29"/>
    <mergeCell ref="V4:W4"/>
    <mergeCell ref="G14:H14"/>
    <mergeCell ref="C1:F1"/>
    <mergeCell ref="C3:F3"/>
    <mergeCell ref="C13:F13"/>
    <mergeCell ref="Q3:Q4"/>
    <mergeCell ref="P3:P4"/>
    <mergeCell ref="R3:U3"/>
    <mergeCell ref="R30:S30"/>
    <mergeCell ref="V18:W18"/>
    <mergeCell ref="V19:W19"/>
    <mergeCell ref="V20:W20"/>
    <mergeCell ref="V21:W21"/>
    <mergeCell ref="V22:W22"/>
    <mergeCell ref="T25:U25"/>
    <mergeCell ref="T24:U24"/>
  </mergeCells>
  <phoneticPr fontId="0" type="noConversion"/>
  <conditionalFormatting sqref="P16">
    <cfRule type="expression" dxfId="9" priority="1">
      <formula>($P$16=100%)</formula>
    </cfRule>
  </conditionalFormatting>
  <conditionalFormatting sqref="U32:AO82">
    <cfRule type="containsText" dxfId="8" priority="8" operator="containsText" text="Plan3">
      <formula>NOT(ISERROR(SEARCH("Plan3",U32)))</formula>
    </cfRule>
    <cfRule type="containsText" dxfId="7" priority="7" operator="containsText" text="Plan2">
      <formula>NOT(ISERROR(SEARCH("Plan2",U32)))</formula>
    </cfRule>
    <cfRule type="containsText" dxfId="6" priority="9" operator="containsText" text="Plan4">
      <formula>NOT(ISERROR(SEARCH("Plan4",U32)))</formula>
    </cfRule>
    <cfRule type="containsText" dxfId="5" priority="6" operator="containsText" text="Plan1">
      <formula>NOT(ISERROR(SEARCH("Plan1",U32)))</formula>
    </cfRule>
    <cfRule type="containsText" dxfId="4" priority="10" operator="containsText" text="None">
      <formula>NOT(ISERROR(SEARCH("None",U32)))</formula>
    </cfRule>
  </conditionalFormatting>
  <conditionalFormatting sqref="R19:U19">
    <cfRule type="top10" dxfId="3" priority="2" bottom="1" rank="1"/>
  </conditionalFormatting>
  <conditionalFormatting sqref="R20:U20">
    <cfRule type="top10" dxfId="2" priority="3" bottom="1" rank="1"/>
  </conditionalFormatting>
  <conditionalFormatting sqref="R21:U21">
    <cfRule type="top10" dxfId="1" priority="4" rank="1"/>
  </conditionalFormatting>
  <conditionalFormatting sqref="R22:U22">
    <cfRule type="top10" dxfId="0" priority="5" bottom="1" rank="1"/>
  </conditionalFormatting>
  <dataValidations count="1">
    <dataValidation type="decimal" allowBlank="1" showInputMessage="1" showErrorMessage="1" errorTitle="Invalid Probability" error="Entered value must be between 0% and 100%." sqref="P6:P15">
      <formula1>0</formula1>
      <formula2>1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8" r:id="rId4" name="SpinButton_Tolerance">
          <controlPr defaultSize="0" autoLine="0" r:id="rId5">
            <anchor moveWithCells="1">
              <from>
                <xdr:col>18</xdr:col>
                <xdr:colOff>9525</xdr:colOff>
                <xdr:row>25</xdr:row>
                <xdr:rowOff>0</xdr:rowOff>
              </from>
              <to>
                <xdr:col>18</xdr:col>
                <xdr:colOff>381000</xdr:colOff>
                <xdr:row>26</xdr:row>
                <xdr:rowOff>9525</xdr:rowOff>
              </to>
            </anchor>
          </controlPr>
        </control>
      </mc:Choice>
      <mc:Fallback>
        <control shapeId="1048" r:id="rId4" name="SpinButton_Tolerance"/>
      </mc:Fallback>
    </mc:AlternateContent>
    <mc:AlternateContent xmlns:mc="http://schemas.openxmlformats.org/markup-compatibility/2006">
      <mc:Choice Requires="x14">
        <control shapeId="1036" r:id="rId6" name="Scroll Bar 12">
          <controlPr defaultSize="0" autoPict="0">
            <anchor moveWithCells="1">
              <from>
                <xdr:col>5</xdr:col>
                <xdr:colOff>0</xdr:colOff>
                <xdr:row>11</xdr:row>
                <xdr:rowOff>38100</xdr:rowOff>
              </from>
              <to>
                <xdr:col>6</xdr:col>
                <xdr:colOff>28575</xdr:colOff>
                <xdr:row>11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7" name="Spinner 22">
          <controlPr defaultSize="0" autoPict="0">
            <anchor moveWithCells="1" sizeWithCells="1">
              <from>
                <xdr:col>17</xdr:col>
                <xdr:colOff>1076325</xdr:colOff>
                <xdr:row>23</xdr:row>
                <xdr:rowOff>0</xdr:rowOff>
              </from>
              <to>
                <xdr:col>18</xdr:col>
                <xdr:colOff>352425</xdr:colOff>
                <xdr:row>24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Health Insurance Comparison</vt:lpstr>
      <vt:lpstr>Anticipated_Annual_Expense</vt:lpstr>
      <vt:lpstr>Cost_Threshold</vt:lpstr>
      <vt:lpstr>Probabilities</vt:lpstr>
      <vt:lpstr>Threshold_Tolerance</vt:lpstr>
    </vt:vector>
  </TitlesOfParts>
  <Company>Kelley School of Business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kec4</cp:lastModifiedBy>
  <dcterms:created xsi:type="dcterms:W3CDTF">1998-08-13T21:03:55Z</dcterms:created>
  <dcterms:modified xsi:type="dcterms:W3CDTF">2013-02-05T22:40:24Z</dcterms:modified>
</cp:coreProperties>
</file>
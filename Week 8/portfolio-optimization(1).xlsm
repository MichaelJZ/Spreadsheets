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0" yWindow="-135" windowWidth="19140" windowHeight="12510"/>
  </bookViews>
  <sheets>
    <sheet name="Portfolio Selection" sheetId="4" r:id="rId1"/>
  </sheets>
  <definedNames>
    <definedName name="AAPL">'Portfolio Selection'!$Q$34:$Q$43</definedName>
    <definedName name="AMZN">'Portfolio Selection'!$R$34:$R$43</definedName>
    <definedName name="Combinations_Output_Start">'Portfolio Selection'!$H$33</definedName>
    <definedName name="Correl">'Portfolio Selection'!$C$15:$G$19</definedName>
    <definedName name="Covar">'Portfolio Selection'!$C$23:$G$27</definedName>
    <definedName name="CSCO">'Portfolio Selection'!$S$34:$S$43</definedName>
    <definedName name="E_Rj">'Portfolio Selection'!$D$5:$D$9</definedName>
    <definedName name="FIXED">'Portfolio Selection'!$AI$34:$AI$43</definedName>
    <definedName name="GE">'Portfolio Selection'!$T$34:$T$43</definedName>
    <definedName name="GPS">'Portfolio Selection'!$U$34:$U$43</definedName>
    <definedName name="GSPC">'Portfolio Selection'!$O$34:$O$43</definedName>
    <definedName name="IBM">'Portfolio Selection'!$V$34:$V$43</definedName>
    <definedName name="INTC">'Portfolio Selection'!$W$34:$W$43</definedName>
    <definedName name="KO">'Portfolio Selection'!$X$34:$X$43</definedName>
    <definedName name="LUV">'Portfolio Selection'!$Y$34:$Y$43</definedName>
    <definedName name="Max_Return_Model">'Portfolio Selection'!$T$4:$T$10</definedName>
    <definedName name="MCD">'Portfolio Selection'!$Z$34:$Z$43</definedName>
    <definedName name="Min_Risk_Model">'Portfolio Selection'!$R$4:$R$10</definedName>
    <definedName name="MRK">'Portfolio Selection'!$AA$34:$AA$43</definedName>
    <definedName name="PG">'Portfolio Selection'!$AB$34:$AB$43</definedName>
    <definedName name="Portfolio_Combinations_Table">'Portfolio Selection'!$C$33:$G$1273</definedName>
    <definedName name="Portfolio_Combinations_Table_Start">'Portfolio Selection'!$C$33</definedName>
    <definedName name="Portfolio_Return">'Portfolio Selection'!$J$4</definedName>
    <definedName name="Portfolio_Risk">'Portfolio Selection'!$O$4</definedName>
    <definedName name="RDEN">'Portfolio Selection'!$AC$34:$AC$43</definedName>
    <definedName name="RUT">'Portfolio Selection'!$P$34:$P$43</definedName>
    <definedName name="SBUX">'Portfolio Selection'!$AD$34:$AD$43</definedName>
    <definedName name="Security_j">'Portfolio Selection'!$C$5:$C$9</definedName>
    <definedName name="Security_Table">'Portfolio Selection'!$C$5:$G$9</definedName>
    <definedName name="sencount" hidden="1">1</definedName>
    <definedName name="solver_cvg" localSheetId="0" hidden="1">0.001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10000</definedName>
    <definedName name="solver_lhs1" localSheetId="0" hidden="1">'Portfolio Selection'!$G$5:$G$9</definedName>
    <definedName name="solver_lhs2" localSheetId="0" hidden="1">'Portfolio Selection'!$G$5:$G$9</definedName>
    <definedName name="solver_lhs3" localSheetId="0" hidden="1">'Portfolio Selection'!$G$5:$G$9</definedName>
    <definedName name="solver_lhs4" localSheetId="0" hidden="1">'Portfolio Selection'!$G$5:$G$9</definedName>
    <definedName name="solver_lhs5" localSheetId="0" hidden="1">'Portfolio Selection'!#REF!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1</definedName>
    <definedName name="solver_rhs1" localSheetId="0" hidden="1">0</definedName>
    <definedName name="solver_rhs2" localSheetId="0" hidden="1">0</definedName>
    <definedName name="solver_rhs3" localSheetId="0" hidden="1">0</definedName>
    <definedName name="solver_rhs4" localSheetId="0" hidden="1">0</definedName>
    <definedName name="solver_rhs5" localSheetId="0" hidden="1">'Portfolio Selection'!#REF!</definedName>
    <definedName name="solver_rlx" localSheetId="0" hidden="1">1</definedName>
    <definedName name="solver_rsd" localSheetId="0" hidden="1">0</definedName>
    <definedName name="solver_scl" localSheetId="0" hidden="1">0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  <definedName name="Std_Dev_Rj">'Portfolio Selection'!$E$5:$E$9</definedName>
    <definedName name="Target_Return">'Portfolio Selection'!$J$7</definedName>
    <definedName name="Target_Risk">'Portfolio Selection'!$O$7</definedName>
    <definedName name="Ticker_Table">'Portfolio Selection'!$K$34:$L$54</definedName>
    <definedName name="Var_Rj">'Portfolio Selection'!$F$5:$F$9</definedName>
    <definedName name="w_j">'Portfolio Selection'!$G$5:$G$9</definedName>
    <definedName name="WFC">'Portfolio Selection'!$AE$34:$AE$43</definedName>
    <definedName name="WFM">'Portfolio Selection'!$AF$34:$AF$43</definedName>
    <definedName name="WMT">'Portfolio Selection'!$AG$34:$AG$43</definedName>
    <definedName name="XOM">'Portfolio Selection'!$AH$34:$AH$43</definedName>
    <definedName name="Year">'Portfolio Selection'!$N$34:$N$43</definedName>
  </definedNames>
  <calcPr calcId="145621"/>
</workbook>
</file>

<file path=xl/calcChain.xml><?xml version="1.0" encoding="utf-8"?>
<calcChain xmlns="http://schemas.openxmlformats.org/spreadsheetml/2006/main">
  <c r="O45" i="4" l="1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AD45" i="4"/>
  <c r="AE45" i="4"/>
  <c r="AF45" i="4"/>
  <c r="AG45" i="4"/>
  <c r="AH45" i="4"/>
  <c r="AI45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AD46" i="4"/>
  <c r="AE46" i="4"/>
  <c r="AF46" i="4"/>
  <c r="AG46" i="4"/>
  <c r="AH46" i="4"/>
  <c r="AI46" i="4"/>
  <c r="B23" i="4" l="1" a="1"/>
  <c r="B27" i="4" s="1"/>
  <c r="B15" i="4" a="1"/>
  <c r="B15" i="4"/>
  <c r="B16" i="4"/>
  <c r="B17" i="4"/>
  <c r="B18" i="4"/>
  <c r="B19" i="4"/>
  <c r="C14" i="4" a="1"/>
  <c r="C14" i="4" s="1"/>
  <c r="C22" i="4" a="1"/>
  <c r="G22" i="4" s="1"/>
  <c r="C32" i="4" a="1"/>
  <c r="C32" i="4" s="1"/>
  <c r="G10" i="4"/>
  <c r="O7" i="4"/>
  <c r="J7" i="4"/>
  <c r="B5" i="4"/>
  <c r="B6" i="4"/>
  <c r="B7" i="4"/>
  <c r="B8" i="4"/>
  <c r="B9" i="4"/>
  <c r="F32" i="4" l="1"/>
  <c r="D32" i="4"/>
  <c r="F31" i="4" s="1"/>
  <c r="F14" i="4"/>
  <c r="G32" i="4"/>
  <c r="E32" i="4"/>
  <c r="D14" i="4"/>
  <c r="G14" i="4"/>
  <c r="E14" i="4"/>
  <c r="B23" i="4"/>
  <c r="B24" i="4"/>
  <c r="B25" i="4"/>
  <c r="B26" i="4"/>
  <c r="C22" i="4"/>
  <c r="D22" i="4"/>
  <c r="E22" i="4"/>
  <c r="F22" i="4"/>
</calcChain>
</file>

<file path=xl/comments1.xml><?xml version="1.0" encoding="utf-8"?>
<comments xmlns="http://schemas.openxmlformats.org/spreadsheetml/2006/main">
  <authors>
    <author>kec4</author>
  </authors>
  <commentList>
    <comment ref="K7" authorId="0">
      <text>
        <r>
          <rPr>
            <b/>
            <sz val="8"/>
            <color indexed="81"/>
            <rFont val="Tahoma"/>
            <family val="2"/>
          </rPr>
          <t>kec4:</t>
        </r>
        <r>
          <rPr>
            <sz val="8"/>
            <color indexed="81"/>
            <rFont val="Tahoma"/>
            <family val="2"/>
          </rPr>
          <t xml:space="preserve">
Contains integer driver for spinner -- do not delete!</t>
        </r>
      </text>
    </comment>
    <comment ref="P7" authorId="0">
      <text>
        <r>
          <rPr>
            <b/>
            <sz val="8"/>
            <color indexed="81"/>
            <rFont val="Tahoma"/>
            <family val="2"/>
          </rPr>
          <t>kec4:</t>
        </r>
        <r>
          <rPr>
            <sz val="8"/>
            <color indexed="81"/>
            <rFont val="Tahoma"/>
            <family val="2"/>
          </rPr>
          <t xml:space="preserve">
Contains integer driver for spinner -- do not delete!</t>
        </r>
      </text>
    </comment>
  </commentList>
</comments>
</file>

<file path=xl/sharedStrings.xml><?xml version="1.0" encoding="utf-8"?>
<sst xmlns="http://schemas.openxmlformats.org/spreadsheetml/2006/main" count="100" uniqueCount="71">
  <si>
    <r>
      <t>E[R</t>
    </r>
    <r>
      <rPr>
        <b/>
        <vertAlign val="subscript"/>
        <sz val="12"/>
        <rFont val="Arial"/>
        <family val="2"/>
      </rPr>
      <t>j</t>
    </r>
    <r>
      <rPr>
        <b/>
        <sz val="12"/>
        <rFont val="Arial"/>
        <family val="2"/>
      </rPr>
      <t>]</t>
    </r>
  </si>
  <si>
    <r>
      <t>Std Dev[R</t>
    </r>
    <r>
      <rPr>
        <b/>
        <vertAlign val="subscript"/>
        <sz val="12"/>
        <rFont val="Arial"/>
        <family val="2"/>
      </rPr>
      <t>j</t>
    </r>
    <r>
      <rPr>
        <b/>
        <sz val="12"/>
        <rFont val="Arial"/>
        <family val="2"/>
      </rPr>
      <t>]</t>
    </r>
  </si>
  <si>
    <r>
      <t>Var[R</t>
    </r>
    <r>
      <rPr>
        <b/>
        <vertAlign val="subscript"/>
        <sz val="12"/>
        <rFont val="Arial"/>
        <family val="2"/>
      </rPr>
      <t>j</t>
    </r>
    <r>
      <rPr>
        <b/>
        <sz val="12"/>
        <rFont val="Arial"/>
        <family val="2"/>
      </rPr>
      <t>]</t>
    </r>
  </si>
  <si>
    <r>
      <t>w</t>
    </r>
    <r>
      <rPr>
        <b/>
        <vertAlign val="subscript"/>
        <sz val="12"/>
        <rFont val="Arial"/>
        <family val="2"/>
      </rPr>
      <t>j</t>
    </r>
  </si>
  <si>
    <t>Return Table</t>
  </si>
  <si>
    <t>Security</t>
  </si>
  <si>
    <t>Covariance Matrix</t>
  </si>
  <si>
    <t>Correlation Matrix</t>
  </si>
  <si>
    <t>Security (j)</t>
  </si>
  <si>
    <t>Total:</t>
  </si>
  <si>
    <t>Model Area 1</t>
  </si>
  <si>
    <t>Model Area 2</t>
  </si>
  <si>
    <t>AMZN</t>
  </si>
  <si>
    <t>CSCO</t>
  </si>
  <si>
    <t>GPS</t>
  </si>
  <si>
    <t>IBM</t>
  </si>
  <si>
    <t>INTC</t>
  </si>
  <si>
    <t>KO</t>
  </si>
  <si>
    <t>LUV</t>
  </si>
  <si>
    <t>MCD</t>
  </si>
  <si>
    <t>MRK</t>
  </si>
  <si>
    <t>PG</t>
  </si>
  <si>
    <t>RDEN</t>
  </si>
  <si>
    <t>SBUX</t>
  </si>
  <si>
    <t>WFC</t>
  </si>
  <si>
    <t>WMT</t>
  </si>
  <si>
    <t>XOM</t>
  </si>
  <si>
    <t>Year</t>
  </si>
  <si>
    <t>Ticker</t>
  </si>
  <si>
    <t>Ticker Symbol Table</t>
  </si>
  <si>
    <t>Description</t>
  </si>
  <si>
    <t>Russell 2000 Index</t>
  </si>
  <si>
    <t>S&amp;P 500 Index</t>
  </si>
  <si>
    <t>Amazon.com Inc.</t>
  </si>
  <si>
    <t>Cisco Systems Inc.</t>
  </si>
  <si>
    <t>Gap Inc.</t>
  </si>
  <si>
    <t>International Business Machines Corp.</t>
  </si>
  <si>
    <t>Intel Corp.</t>
  </si>
  <si>
    <t>Coca-Cola Co.</t>
  </si>
  <si>
    <t>Southwest Airlines Co.</t>
  </si>
  <si>
    <t>McDonald's Corp.</t>
  </si>
  <si>
    <t>Merck &amp; Co. Inc.</t>
  </si>
  <si>
    <t>Proctor &amp; Gamble Co.</t>
  </si>
  <si>
    <t>Elizabeth Arden Inc.</t>
  </si>
  <si>
    <t>Starbucks Corp.</t>
  </si>
  <si>
    <t>Wells Fargo &amp; Co.</t>
  </si>
  <si>
    <t>Whole Foods Market Inc.</t>
  </si>
  <si>
    <t>Wal-Mart Stores Inc.</t>
  </si>
  <si>
    <t>Exxon Mobil Corporation</t>
  </si>
  <si>
    <t>FIXED</t>
  </si>
  <si>
    <t>Fixed Income Security</t>
  </si>
  <si>
    <t>OPTIMIZE PORTFOLIO PERFORMANCE</t>
  </si>
  <si>
    <r>
      <t>E[R</t>
    </r>
    <r>
      <rPr>
        <b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>]</t>
    </r>
  </si>
  <si>
    <r>
      <t>Std Dev[R</t>
    </r>
    <r>
      <rPr>
        <b/>
        <vertAlign val="subscript"/>
        <sz val="10"/>
        <rFont val="Arial"/>
        <family val="2"/>
      </rPr>
      <t>P</t>
    </r>
    <r>
      <rPr>
        <b/>
        <sz val="10"/>
        <rFont val="Arial"/>
        <family val="2"/>
      </rPr>
      <t>]</t>
    </r>
  </si>
  <si>
    <t>Select Securities in Tan Cells Below</t>
  </si>
  <si>
    <t>Bottom Rows show</t>
  </si>
  <si>
    <t>Portfolio Combination Table</t>
  </si>
  <si>
    <t>RUT</t>
  </si>
  <si>
    <t>GSPC</t>
  </si>
  <si>
    <t>Enter Investment Allocation in Green Cells Below
(100% Total)</t>
  </si>
  <si>
    <t>WFM</t>
  </si>
  <si>
    <r>
      <t xml:space="preserve">SELECT SECURITIES IN PORTFOLIO </t>
    </r>
    <r>
      <rPr>
        <b/>
        <i/>
        <sz val="16"/>
        <rFont val="Arial"/>
        <family val="2"/>
      </rPr>
      <t>P</t>
    </r>
  </si>
  <si>
    <r>
      <t>E[R</t>
    </r>
    <r>
      <rPr>
        <b/>
        <i/>
        <vertAlign val="subscript"/>
        <sz val="12"/>
        <rFont val="Arial"/>
        <family val="2"/>
      </rPr>
      <t>P</t>
    </r>
    <r>
      <rPr>
        <b/>
        <sz val="12"/>
        <rFont val="Arial"/>
        <family val="2"/>
      </rPr>
      <t xml:space="preserve">] = </t>
    </r>
  </si>
  <si>
    <r>
      <t>Target E[R</t>
    </r>
    <r>
      <rPr>
        <b/>
        <i/>
        <vertAlign val="subscript"/>
        <sz val="14"/>
        <rFont val="Arial"/>
        <family val="2"/>
      </rPr>
      <t>P</t>
    </r>
    <r>
      <rPr>
        <b/>
        <sz val="14"/>
        <rFont val="Arial"/>
        <family val="2"/>
      </rPr>
      <t xml:space="preserve">] = </t>
    </r>
  </si>
  <si>
    <r>
      <t>Var[R</t>
    </r>
    <r>
      <rPr>
        <b/>
        <i/>
        <vertAlign val="subscript"/>
        <sz val="12"/>
        <rFont val="Arial"/>
        <family val="2"/>
      </rPr>
      <t>P</t>
    </r>
    <r>
      <rPr>
        <b/>
        <sz val="12"/>
        <rFont val="Arial"/>
        <family val="2"/>
      </rPr>
      <t xml:space="preserve">] = </t>
    </r>
  </si>
  <si>
    <r>
      <t>Std Dev[R</t>
    </r>
    <r>
      <rPr>
        <b/>
        <i/>
        <vertAlign val="subscript"/>
        <sz val="12"/>
        <rFont val="Arial"/>
        <family val="2"/>
      </rPr>
      <t>P</t>
    </r>
    <r>
      <rPr>
        <b/>
        <sz val="12"/>
        <rFont val="Arial"/>
        <family val="2"/>
      </rPr>
      <t xml:space="preserve">] = </t>
    </r>
  </si>
  <si>
    <r>
      <t>Target Std Dev[R</t>
    </r>
    <r>
      <rPr>
        <b/>
        <i/>
        <vertAlign val="subscript"/>
        <sz val="14"/>
        <rFont val="Arial"/>
        <family val="2"/>
      </rPr>
      <t>P</t>
    </r>
    <r>
      <rPr>
        <b/>
        <sz val="14"/>
        <rFont val="Arial"/>
        <family val="2"/>
      </rPr>
      <t xml:space="preserve">] = </t>
    </r>
  </si>
  <si>
    <t>AAPL</t>
  </si>
  <si>
    <t>Apple, Inc.</t>
  </si>
  <si>
    <t>GE</t>
  </si>
  <si>
    <t>General Electric Company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</si>
</sst>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0%;[Red]\(0.00%\)"/>
  </numFmts>
  <fonts count="20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vertAlign val="subscript"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1"/>
      <name val="Arial"/>
      <family val="2"/>
    </font>
    <font>
      <b/>
      <i/>
      <sz val="16"/>
      <name val="Arial"/>
      <family val="2"/>
    </font>
    <font>
      <b/>
      <i/>
      <vertAlign val="subscript"/>
      <sz val="12"/>
      <name val="Arial"/>
      <family val="2"/>
    </font>
    <font>
      <b/>
      <i/>
      <vertAlign val="subscript"/>
      <sz val="14"/>
      <name val="Arial"/>
      <family val="2"/>
    </font>
    <font>
      <b/>
      <sz val="12"/>
      <color rgb="FF00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0" fillId="0" borderId="0" xfId="0" applyFill="1" applyBorder="1"/>
    <xf numFmtId="10" fontId="0" fillId="0" borderId="0" xfId="0" applyNumberFormat="1"/>
    <xf numFmtId="0" fontId="0" fillId="3" borderId="1" xfId="0" applyFill="1" applyBorder="1"/>
    <xf numFmtId="0" fontId="0" fillId="3" borderId="4" xfId="0" applyFill="1" applyBorder="1"/>
    <xf numFmtId="0" fontId="0" fillId="3" borderId="2" xfId="0" applyFill="1" applyBorder="1"/>
    <xf numFmtId="15" fontId="0" fillId="0" borderId="0" xfId="0" applyNumberFormat="1" applyFill="1" applyBorder="1"/>
    <xf numFmtId="10" fontId="0" fillId="0" borderId="0" xfId="0" applyNumberFormat="1" applyFill="1" applyBorder="1"/>
    <xf numFmtId="0" fontId="7" fillId="0" borderId="0" xfId="0" applyFont="1"/>
    <xf numFmtId="0" fontId="7" fillId="0" borderId="0" xfId="0" applyFont="1" applyAlignment="1">
      <alignment vertical="center"/>
    </xf>
    <xf numFmtId="0" fontId="8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right" vertical="center"/>
    </xf>
    <xf numFmtId="0" fontId="1" fillId="0" borderId="2" xfId="0" applyFont="1" applyBorder="1" applyAlignment="1">
      <alignment horizontal="center"/>
    </xf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4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Alignment="1">
      <alignment horizontal="right"/>
    </xf>
    <xf numFmtId="10" fontId="10" fillId="2" borderId="8" xfId="0" applyNumberFormat="1" applyFont="1" applyFill="1" applyBorder="1" applyAlignment="1">
      <alignment horizontal="center" vertical="center"/>
    </xf>
    <xf numFmtId="164" fontId="7" fillId="2" borderId="9" xfId="0" applyNumberFormat="1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0" fontId="2" fillId="0" borderId="0" xfId="0" applyFont="1" applyFill="1" applyBorder="1" applyAlignment="1">
      <alignment vertical="center"/>
    </xf>
    <xf numFmtId="0" fontId="8" fillId="0" borderId="0" xfId="0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 vertical="center"/>
    </xf>
    <xf numFmtId="10" fontId="9" fillId="0" borderId="0" xfId="0" applyNumberFormat="1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top" wrapText="1"/>
    </xf>
    <xf numFmtId="10" fontId="1" fillId="3" borderId="5" xfId="0" applyNumberFormat="1" applyFont="1" applyFill="1" applyBorder="1" applyAlignment="1">
      <alignment horizontal="center"/>
    </xf>
    <xf numFmtId="10" fontId="1" fillId="3" borderId="0" xfId="0" applyNumberFormat="1" applyFont="1" applyFill="1" applyBorder="1" applyAlignment="1">
      <alignment horizontal="center"/>
    </xf>
    <xf numFmtId="10" fontId="1" fillId="3" borderId="2" xfId="0" applyNumberFormat="1" applyFont="1" applyFill="1" applyBorder="1" applyAlignment="1">
      <alignment horizontal="center"/>
    </xf>
    <xf numFmtId="10" fontId="1" fillId="3" borderId="9" xfId="0" applyNumberFormat="1" applyFont="1" applyFill="1" applyBorder="1" applyAlignment="1">
      <alignment horizontal="center"/>
    </xf>
    <xf numFmtId="10" fontId="1" fillId="3" borderId="12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5" fillId="0" borderId="5" xfId="0" applyFont="1" applyBorder="1" applyAlignment="1">
      <alignment horizontal="right" vertical="center"/>
    </xf>
    <xf numFmtId="0" fontId="4" fillId="0" borderId="5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11" fillId="0" borderId="5" xfId="0" applyFont="1" applyBorder="1" applyAlignment="1">
      <alignment horizontal="center" wrapText="1"/>
    </xf>
    <xf numFmtId="10" fontId="0" fillId="0" borderId="0" xfId="0" applyNumberFormat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9" xfId="0" applyBorder="1"/>
    <xf numFmtId="0" fontId="0" fillId="0" borderId="12" xfId="0" applyBorder="1"/>
    <xf numFmtId="0" fontId="0" fillId="0" borderId="8" xfId="0" applyBorder="1"/>
    <xf numFmtId="0" fontId="8" fillId="0" borderId="7" xfId="0" applyFont="1" applyBorder="1" applyAlignment="1">
      <alignment horizontal="center"/>
    </xf>
    <xf numFmtId="10" fontId="0" fillId="2" borderId="7" xfId="0" applyNumberFormat="1" applyFill="1" applyBorder="1" applyAlignment="1">
      <alignment horizontal="center"/>
    </xf>
    <xf numFmtId="10" fontId="0" fillId="2" borderId="14" xfId="0" applyNumberFormat="1" applyFill="1" applyBorder="1" applyAlignment="1">
      <alignment horizontal="center"/>
    </xf>
    <xf numFmtId="0" fontId="5" fillId="0" borderId="0" xfId="0" applyFont="1" applyFill="1" applyBorder="1" applyAlignment="1">
      <alignment horizontal="right" vertical="center"/>
    </xf>
    <xf numFmtId="10" fontId="4" fillId="0" borderId="0" xfId="0" applyNumberFormat="1" applyFont="1" applyFill="1" applyBorder="1" applyAlignment="1">
      <alignment horizontal="center" vertical="center"/>
    </xf>
    <xf numFmtId="164" fontId="4" fillId="0" borderId="0" xfId="0" applyNumberFormat="1" applyFont="1" applyFill="1" applyBorder="1" applyAlignment="1">
      <alignment horizontal="center" vertical="center"/>
    </xf>
    <xf numFmtId="164" fontId="4" fillId="2" borderId="15" xfId="0" applyNumberFormat="1" applyFont="1" applyFill="1" applyBorder="1" applyAlignment="1">
      <alignment horizontal="center" vertical="center"/>
    </xf>
    <xf numFmtId="10" fontId="4" fillId="2" borderId="15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left"/>
    </xf>
    <xf numFmtId="10" fontId="0" fillId="2" borderId="3" xfId="0" applyNumberFormat="1" applyFill="1" applyBorder="1" applyAlignment="1">
      <alignment horizontal="center"/>
    </xf>
    <xf numFmtId="0" fontId="1" fillId="0" borderId="2" xfId="0" applyFont="1" applyBorder="1"/>
    <xf numFmtId="10" fontId="0" fillId="6" borderId="0" xfId="0" applyNumberFormat="1" applyFill="1" applyAlignment="1">
      <alignment horizontal="center"/>
    </xf>
    <xf numFmtId="10" fontId="0" fillId="7" borderId="0" xfId="0" applyNumberFormat="1" applyFill="1" applyBorder="1" applyAlignment="1">
      <alignment horizontal="center"/>
    </xf>
    <xf numFmtId="10" fontId="0" fillId="7" borderId="0" xfId="0" applyNumberFormat="1" applyFill="1" applyAlignment="1">
      <alignment horizontal="center"/>
    </xf>
    <xf numFmtId="164" fontId="1" fillId="2" borderId="3" xfId="0" applyNumberFormat="1" applyFont="1" applyFill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0" fontId="1" fillId="3" borderId="6" xfId="0" applyNumberFormat="1" applyFont="1" applyFill="1" applyBorder="1" applyAlignment="1">
      <alignment horizontal="center"/>
    </xf>
    <xf numFmtId="10" fontId="1" fillId="3" borderId="8" xfId="0" applyNumberFormat="1" applyFont="1" applyFill="1" applyBorder="1" applyAlignment="1">
      <alignment horizontal="center"/>
    </xf>
    <xf numFmtId="10" fontId="0" fillId="2" borderId="16" xfId="0" applyNumberForma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18" xfId="0" applyFont="1" applyFill="1" applyBorder="1" applyAlignment="1">
      <alignment horizontal="center" vertical="center"/>
    </xf>
    <xf numFmtId="0" fontId="8" fillId="8" borderId="19" xfId="0" applyFont="1" applyFill="1" applyBorder="1" applyAlignment="1">
      <alignment horizontal="center" vertical="center"/>
    </xf>
    <xf numFmtId="0" fontId="15" fillId="0" borderId="3" xfId="0" applyFont="1" applyBorder="1" applyAlignment="1">
      <alignment horizontal="right" vertical="center" wrapText="1"/>
    </xf>
    <xf numFmtId="10" fontId="1" fillId="2" borderId="0" xfId="0" applyNumberFormat="1" applyFont="1" applyFill="1" applyAlignment="1">
      <alignment horizontal="center"/>
    </xf>
    <xf numFmtId="0" fontId="1" fillId="0" borderId="6" xfId="0" applyFont="1" applyBorder="1" applyAlignment="1">
      <alignment horizontal="center" wrapText="1"/>
    </xf>
    <xf numFmtId="0" fontId="0" fillId="9" borderId="7" xfId="0" applyFill="1" applyBorder="1" applyAlignment="1">
      <alignment horizontal="center"/>
    </xf>
    <xf numFmtId="0" fontId="0" fillId="9" borderId="14" xfId="0" applyFill="1" applyBorder="1" applyAlignment="1">
      <alignment horizontal="center"/>
    </xf>
    <xf numFmtId="0" fontId="0" fillId="9" borderId="14" xfId="0" applyFill="1" applyBorder="1"/>
    <xf numFmtId="0" fontId="0" fillId="9" borderId="16" xfId="0" applyFill="1" applyBorder="1"/>
    <xf numFmtId="0" fontId="1" fillId="10" borderId="3" xfId="0" applyFont="1" applyFill="1" applyBorder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164" fontId="0" fillId="11" borderId="1" xfId="0" applyNumberFormat="1" applyFill="1" applyBorder="1"/>
    <xf numFmtId="0" fontId="0" fillId="11" borderId="2" xfId="0" applyFill="1" applyBorder="1"/>
    <xf numFmtId="0" fontId="0" fillId="11" borderId="4" xfId="0" applyFill="1" applyBorder="1"/>
    <xf numFmtId="165" fontId="9" fillId="4" borderId="3" xfId="0" applyNumberFormat="1" applyFont="1" applyFill="1" applyBorder="1" applyAlignment="1">
      <alignment horizontal="center" vertical="center"/>
    </xf>
    <xf numFmtId="10" fontId="9" fillId="2" borderId="15" xfId="0" applyNumberFormat="1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4" xfId="0" applyFont="1" applyFill="1" applyBorder="1" applyAlignment="1">
      <alignment horizontal="center"/>
    </xf>
    <xf numFmtId="0" fontId="5" fillId="5" borderId="7" xfId="0" applyFont="1" applyFill="1" applyBorder="1" applyAlignment="1">
      <alignment horizontal="left"/>
    </xf>
    <xf numFmtId="0" fontId="5" fillId="5" borderId="14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</cellXfs>
  <cellStyles count="1">
    <cellStyle name="Normal" xfId="0" builtinId="0"/>
  </cellStyles>
  <dxfs count="6"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ill>
        <patternFill>
          <bgColor theme="5" tint="0.39994506668294322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  <dxf>
      <font>
        <b/>
        <i val="0"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600"/>
              <a:t>Portfolio Risk-Return Footprint</a:t>
            </a:r>
          </a:p>
        </c:rich>
      </c:tx>
      <c:layout>
        <c:manualLayout>
          <c:xMode val="edge"/>
          <c:yMode val="edge"/>
          <c:x val="0.28304396325459319"/>
          <c:y val="4.75503784691682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07296011046175"/>
          <c:y val="0.15130058570798641"/>
          <c:w val="0.80463641206767123"/>
          <c:h val="0.69976520889943694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'Portfolio Selection'!$I$32</c:f>
              <c:strCache>
                <c:ptCount val="1"/>
                <c:pt idx="0">
                  <c:v>E[RP]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'Portfolio Selection'!$H$33:$H$1172</c:f>
              <c:numCache>
                <c:formatCode>0.00%</c:formatCode>
                <c:ptCount val="1140"/>
              </c:numCache>
            </c:numRef>
          </c:xVal>
          <c:yVal>
            <c:numRef>
              <c:f>'Portfolio Selection'!$I$33:$I$1172</c:f>
              <c:numCache>
                <c:formatCode>0.00%</c:formatCode>
                <c:ptCount val="1140"/>
              </c:numCache>
            </c:numRef>
          </c:yVal>
          <c:smooth val="0"/>
        </c:ser>
        <c:ser>
          <c:idx val="1"/>
          <c:order val="1"/>
          <c:tx>
            <c:v>Selected Portfolio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00FF00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'Portfolio Selection'!$O$4</c:f>
              <c:numCache>
                <c:formatCode>0.00%</c:formatCode>
                <c:ptCount val="1"/>
              </c:numCache>
            </c:numRef>
          </c:xVal>
          <c:yVal>
            <c:numRef>
              <c:f>'Portfolio Selection'!$J$4</c:f>
              <c:numCache>
                <c:formatCode>0.00%</c:formatCode>
                <c:ptCount val="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265984"/>
        <c:axId val="206341248"/>
      </c:scatterChart>
      <c:valAx>
        <c:axId val="1682659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Risk (Std Dev)</a:t>
                </a:r>
              </a:p>
            </c:rich>
          </c:tx>
          <c:layout>
            <c:manualLayout>
              <c:xMode val="edge"/>
              <c:yMode val="edge"/>
              <c:x val="0.47516594704407739"/>
              <c:y val="0.91489572920298001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41248"/>
        <c:crosses val="autoZero"/>
        <c:crossBetween val="midCat"/>
      </c:valAx>
      <c:valAx>
        <c:axId val="206341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Expected Return</a:t>
                </a:r>
              </a:p>
            </c:rich>
          </c:tx>
          <c:layout>
            <c:manualLayout>
              <c:xMode val="edge"/>
              <c:yMode val="edge"/>
              <c:x val="2.6490087640087926E-2"/>
              <c:y val="0.39007182252840261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8265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716247669537294"/>
          <c:y val="5.436958826916304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4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953488372093037"/>
          <c:y val="0.16627097669121219"/>
          <c:w val="0.8039867109634552"/>
          <c:h val="0.68408630410098736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'Portfolio Selection'!$F$31</c:f>
              <c:strCache>
                <c:ptCount val="1"/>
                <c:pt idx="0">
                  <c:v>AMZN / GE Portfolio Curve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'Portfolio Selection'!$H$1173:$H$1273</c:f>
              <c:numCache>
                <c:formatCode>0.00%</c:formatCode>
                <c:ptCount val="101"/>
              </c:numCache>
            </c:numRef>
          </c:xVal>
          <c:yVal>
            <c:numRef>
              <c:f>'Portfolio Selection'!$I$1173:$I$1273</c:f>
              <c:numCache>
                <c:formatCode>0.00%</c:formatCode>
                <c:ptCount val="101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65440"/>
        <c:axId val="206367744"/>
      </c:scatterChart>
      <c:valAx>
        <c:axId val="2063654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Risk (Std Dev)</a:t>
                </a:r>
              </a:p>
            </c:rich>
          </c:tx>
          <c:layout>
            <c:manualLayout>
              <c:xMode val="edge"/>
              <c:yMode val="edge"/>
              <c:x val="0.47508305647840526"/>
              <c:y val="0.91449037180166626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67744"/>
        <c:crosses val="autoZero"/>
        <c:crossBetween val="midCat"/>
      </c:valAx>
      <c:valAx>
        <c:axId val="2063677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Expected Return</a:t>
                </a:r>
              </a:p>
            </c:rich>
          </c:tx>
          <c:layout>
            <c:manualLayout>
              <c:xMode val="edge"/>
              <c:yMode val="edge"/>
              <c:x val="2.6578073089701022E-2"/>
              <c:y val="0.39667504439189227"/>
            </c:manualLayout>
          </c:layout>
          <c:overlay val="0"/>
          <c:spPr>
            <a:noFill/>
            <a:ln w="25400">
              <a:noFill/>
            </a:ln>
          </c:spPr>
        </c:title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654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56" r="0.75000000000000056" t="1" header="0.5" footer="0.5"/>
    <c:pageSetup/>
  </c:printSettings>
</c:chartSpace>
</file>

<file path=xl/ctrlProps/ctrlProp1.xml><?xml version="1.0" encoding="utf-8"?>
<formControlPr xmlns="http://schemas.microsoft.com/office/spreadsheetml/2009/9/main" objectType="Spin" dx="16" fmlaLink="$K$7" max="30000" page="10" val="25"/>
</file>

<file path=xl/ctrlProps/ctrlProp2.xml><?xml version="1.0" encoding="utf-8"?>
<formControlPr xmlns="http://schemas.microsoft.com/office/spreadsheetml/2009/9/main" objectType="Spin" dx="16" fmlaLink="$P$7" max="30000" page="10" val="10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28575</xdr:colOff>
      <xdr:row>10</xdr:row>
      <xdr:rowOff>117475</xdr:rowOff>
    </xdr:from>
    <xdr:to>
      <xdr:col>13</xdr:col>
      <xdr:colOff>600075</xdr:colOff>
      <xdr:row>28</xdr:row>
      <xdr:rowOff>0</xdr:rowOff>
    </xdr:to>
    <xdr:graphicFrame macro="">
      <xdr:nvGraphicFramePr>
        <xdr:cNvPr id="2106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111125</xdr:colOff>
      <xdr:row>10</xdr:row>
      <xdr:rowOff>108857</xdr:rowOff>
    </xdr:from>
    <xdr:to>
      <xdr:col>21</xdr:col>
      <xdr:colOff>40821</xdr:colOff>
      <xdr:row>28</xdr:row>
      <xdr:rowOff>0</xdr:rowOff>
    </xdr:to>
    <xdr:graphicFrame macro="">
      <xdr:nvGraphicFramePr>
        <xdr:cNvPr id="2107" name="Chart 5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319699</xdr:colOff>
      <xdr:row>4</xdr:row>
      <xdr:rowOff>76200</xdr:rowOff>
    </xdr:from>
    <xdr:to>
      <xdr:col>9</xdr:col>
      <xdr:colOff>681649</xdr:colOff>
      <xdr:row>5</xdr:row>
      <xdr:rowOff>276225</xdr:rowOff>
    </xdr:to>
    <xdr:sp macro="" textlink="">
      <xdr:nvSpPr>
        <xdr:cNvPr id="2112" name="AutoShape 64"/>
        <xdr:cNvSpPr>
          <a:spLocks noChangeArrowheads="1"/>
        </xdr:cNvSpPr>
      </xdr:nvSpPr>
      <xdr:spPr bwMode="auto">
        <a:xfrm rot="16200000">
          <a:off x="8765565" y="2742834"/>
          <a:ext cx="566371" cy="361950"/>
        </a:xfrm>
        <a:prstGeom prst="notchedRightArrow">
          <a:avLst>
            <a:gd name="adj1" fmla="val 50000"/>
            <a:gd name="adj2" fmla="val 39474"/>
          </a:avLst>
        </a:prstGeom>
        <a:solidFill>
          <a:srgbClr val="0000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14</xdr:col>
      <xdr:colOff>219075</xdr:colOff>
      <xdr:row>4</xdr:row>
      <xdr:rowOff>76200</xdr:rowOff>
    </xdr:from>
    <xdr:to>
      <xdr:col>14</xdr:col>
      <xdr:colOff>581025</xdr:colOff>
      <xdr:row>5</xdr:row>
      <xdr:rowOff>276225</xdr:rowOff>
    </xdr:to>
    <xdr:sp macro="" textlink="">
      <xdr:nvSpPr>
        <xdr:cNvPr id="2113" name="AutoShape 65"/>
        <xdr:cNvSpPr>
          <a:spLocks noChangeArrowheads="1"/>
        </xdr:cNvSpPr>
      </xdr:nvSpPr>
      <xdr:spPr bwMode="auto">
        <a:xfrm rot="16200000">
          <a:off x="13201650" y="2752725"/>
          <a:ext cx="571500" cy="361950"/>
        </a:xfrm>
        <a:prstGeom prst="notchedRightArrow">
          <a:avLst>
            <a:gd name="adj1" fmla="val 50000"/>
            <a:gd name="adj2" fmla="val 39474"/>
          </a:avLst>
        </a:prstGeom>
        <a:solidFill>
          <a:srgbClr val="0000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1085850</xdr:colOff>
          <xdr:row>5</xdr:row>
          <xdr:rowOff>333375</xdr:rowOff>
        </xdr:from>
        <xdr:to>
          <xdr:col>10</xdr:col>
          <xdr:colOff>180975</xdr:colOff>
          <xdr:row>7</xdr:row>
          <xdr:rowOff>47625</xdr:rowOff>
        </xdr:to>
        <xdr:sp macro="" textlink="">
          <xdr:nvSpPr>
            <xdr:cNvPr id="2101" name="Spinner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828675</xdr:colOff>
          <xdr:row>5</xdr:row>
          <xdr:rowOff>333375</xdr:rowOff>
        </xdr:from>
        <xdr:to>
          <xdr:col>15</xdr:col>
          <xdr:colOff>180975</xdr:colOff>
          <xdr:row>7</xdr:row>
          <xdr:rowOff>47625</xdr:rowOff>
        </xdr:to>
        <xdr:sp macro="" textlink="">
          <xdr:nvSpPr>
            <xdr:cNvPr id="2103" name="Spinner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571500</xdr:rowOff>
        </xdr:from>
        <xdr:to>
          <xdr:col>1</xdr:col>
          <xdr:colOff>1333500</xdr:colOff>
          <xdr:row>3</xdr:row>
          <xdr:rowOff>219075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Chart Portfolio Footprint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autoPageBreaks="0"/>
  </sheetPr>
  <dimension ref="A1:AJ1273"/>
  <sheetViews>
    <sheetView tabSelected="1" zoomScale="70" zoomScaleNormal="70" workbookViewId="0">
      <selection activeCell="B2" sqref="B2"/>
    </sheetView>
  </sheetViews>
  <sheetFormatPr defaultRowHeight="12.75" x14ac:dyDescent="0.2"/>
  <cols>
    <col min="1" max="1" width="5.42578125" customWidth="1"/>
    <col min="2" max="2" width="21.42578125" customWidth="1"/>
    <col min="3" max="3" width="13.28515625" style="4" customWidth="1"/>
    <col min="4" max="6" width="13.28515625" style="1" customWidth="1"/>
    <col min="7" max="7" width="14.7109375" style="1" customWidth="1"/>
    <col min="8" max="8" width="13.5703125" customWidth="1"/>
    <col min="9" max="9" width="20.85546875" customWidth="1"/>
    <col min="10" max="10" width="17.42578125" style="1" customWidth="1"/>
    <col min="11" max="11" width="14.140625" style="1" customWidth="1"/>
    <col min="12" max="12" width="19.42578125" style="1" customWidth="1"/>
    <col min="13" max="13" width="10.85546875" style="1" customWidth="1"/>
    <col min="14" max="15" width="12.42578125" style="1" customWidth="1"/>
    <col min="16" max="16" width="10.85546875" style="1" customWidth="1"/>
    <col min="17" max="17" width="11.7109375" customWidth="1"/>
    <col min="18" max="35" width="12.7109375" customWidth="1"/>
  </cols>
  <sheetData>
    <row r="1" spans="1:20" ht="27" customHeight="1" x14ac:dyDescent="0.2">
      <c r="H1" s="1"/>
      <c r="I1" s="1"/>
    </row>
    <row r="2" spans="1:20" ht="41.25" customHeight="1" x14ac:dyDescent="0.2">
      <c r="C2" s="100" t="s">
        <v>61</v>
      </c>
      <c r="D2" s="101"/>
      <c r="E2" s="101"/>
      <c r="F2" s="101"/>
      <c r="G2" s="102"/>
      <c r="H2" s="33"/>
      <c r="I2" s="100" t="s">
        <v>51</v>
      </c>
      <c r="J2" s="101"/>
      <c r="K2" s="101"/>
      <c r="L2" s="101"/>
      <c r="M2" s="101"/>
      <c r="N2" s="101"/>
      <c r="O2" s="101"/>
      <c r="P2" s="102"/>
    </row>
    <row r="3" spans="1:20" ht="89.25" customHeight="1" thickBot="1" x14ac:dyDescent="0.25">
      <c r="B3" s="15"/>
      <c r="C3" s="51" t="s">
        <v>54</v>
      </c>
      <c r="D3" s="31"/>
      <c r="E3" s="31"/>
      <c r="F3" s="31"/>
      <c r="G3" s="88" t="s">
        <v>59</v>
      </c>
      <c r="H3" s="37"/>
      <c r="I3" s="53"/>
      <c r="J3" s="54"/>
      <c r="K3" s="54"/>
      <c r="L3" s="54"/>
      <c r="M3" s="54"/>
      <c r="N3" s="54"/>
      <c r="O3" s="54"/>
      <c r="P3" s="55"/>
      <c r="R3" s="5" t="s">
        <v>10</v>
      </c>
      <c r="T3" s="5" t="s">
        <v>11</v>
      </c>
    </row>
    <row r="4" spans="1:20" ht="29.25" customHeight="1" thickBot="1" x14ac:dyDescent="0.4">
      <c r="B4" s="15"/>
      <c r="C4" s="47" t="s">
        <v>8</v>
      </c>
      <c r="D4" s="46" t="s">
        <v>0</v>
      </c>
      <c r="E4" s="46" t="s">
        <v>1</v>
      </c>
      <c r="F4" s="46" t="s">
        <v>2</v>
      </c>
      <c r="G4" s="47" t="s">
        <v>3</v>
      </c>
      <c r="H4" s="34"/>
      <c r="I4" s="48" t="s">
        <v>62</v>
      </c>
      <c r="J4" s="66"/>
      <c r="K4" s="48" t="s">
        <v>64</v>
      </c>
      <c r="L4" s="65"/>
      <c r="M4" s="25"/>
      <c r="N4" s="48" t="s">
        <v>65</v>
      </c>
      <c r="O4" s="66"/>
      <c r="P4" s="24"/>
      <c r="R4" s="95"/>
      <c r="T4" s="95"/>
    </row>
    <row r="5" spans="1:20" ht="29.25" customHeight="1" x14ac:dyDescent="0.2">
      <c r="B5" s="86" t="str">
        <f>VLOOKUP(C5,Ticker_Table,2,0)</f>
        <v>Amazon.com Inc.</v>
      </c>
      <c r="C5" s="83" t="s">
        <v>12</v>
      </c>
      <c r="D5" s="29"/>
      <c r="E5" s="29"/>
      <c r="F5" s="30"/>
      <c r="G5" s="98">
        <v>0.2</v>
      </c>
      <c r="H5" s="35"/>
      <c r="I5" s="27"/>
      <c r="J5" s="26"/>
      <c r="K5" s="26"/>
      <c r="L5" s="26"/>
      <c r="M5" s="23"/>
      <c r="N5" s="62"/>
      <c r="O5" s="64"/>
      <c r="P5" s="24"/>
      <c r="R5" s="96"/>
      <c r="T5" s="96"/>
    </row>
    <row r="6" spans="1:20" ht="29.25" customHeight="1" thickBot="1" x14ac:dyDescent="0.3">
      <c r="B6" s="86" t="str">
        <f>VLOOKUP(C6,Ticker_Table,2,0)</f>
        <v>General Electric Company</v>
      </c>
      <c r="C6" s="84" t="s">
        <v>69</v>
      </c>
      <c r="D6" s="29"/>
      <c r="E6" s="29"/>
      <c r="F6" s="30"/>
      <c r="G6" s="98">
        <v>0.2</v>
      </c>
      <c r="H6" s="35"/>
      <c r="I6" s="27"/>
      <c r="J6" s="26"/>
      <c r="K6" s="26"/>
      <c r="L6" s="25"/>
      <c r="M6" s="23"/>
      <c r="N6" s="62"/>
      <c r="O6" s="63"/>
      <c r="P6" s="24"/>
      <c r="R6" s="96"/>
      <c r="T6" s="96"/>
    </row>
    <row r="7" spans="1:20" ht="29.25" customHeight="1" thickBot="1" x14ac:dyDescent="0.25">
      <c r="B7" s="86" t="str">
        <f>VLOOKUP(C7,Ticker_Table,2,0)</f>
        <v>International Business Machines Corp.</v>
      </c>
      <c r="C7" s="84" t="s">
        <v>15</v>
      </c>
      <c r="D7" s="29"/>
      <c r="E7" s="29"/>
      <c r="F7" s="30"/>
      <c r="G7" s="98">
        <v>0.2</v>
      </c>
      <c r="H7" s="35"/>
      <c r="I7" s="49" t="s">
        <v>63</v>
      </c>
      <c r="J7" s="66">
        <f>K7/100</f>
        <v>0.25</v>
      </c>
      <c r="K7" s="68">
        <v>25</v>
      </c>
      <c r="L7" s="26"/>
      <c r="M7" s="23"/>
      <c r="N7" s="50" t="s">
        <v>66</v>
      </c>
      <c r="O7" s="66">
        <f>P7/100</f>
        <v>0.1</v>
      </c>
      <c r="P7" s="69">
        <v>10</v>
      </c>
      <c r="R7" s="96"/>
      <c r="T7" s="96"/>
    </row>
    <row r="8" spans="1:20" ht="29.25" customHeight="1" x14ac:dyDescent="0.2">
      <c r="B8" s="86" t="str">
        <f>VLOOKUP(C8,Ticker_Table,2,0)</f>
        <v>Proctor &amp; Gamble Co.</v>
      </c>
      <c r="C8" s="84" t="s">
        <v>21</v>
      </c>
      <c r="D8" s="29"/>
      <c r="E8" s="29"/>
      <c r="F8" s="30"/>
      <c r="G8" s="98">
        <v>0.2</v>
      </c>
      <c r="H8" s="35"/>
      <c r="I8" s="22"/>
      <c r="J8" s="23"/>
      <c r="K8" s="23"/>
      <c r="L8" s="23"/>
      <c r="M8" s="23"/>
      <c r="N8" s="23"/>
      <c r="O8" s="23"/>
      <c r="P8" s="24"/>
      <c r="R8" s="96"/>
      <c r="T8" s="96"/>
    </row>
    <row r="9" spans="1:20" ht="29.25" customHeight="1" thickBot="1" x14ac:dyDescent="0.25">
      <c r="B9" s="86" t="str">
        <f>VLOOKUP(C9,Ticker_Table,2,0)</f>
        <v>Wal-Mart Stores Inc.</v>
      </c>
      <c r="C9" s="85" t="s">
        <v>25</v>
      </c>
      <c r="D9" s="29"/>
      <c r="E9" s="29"/>
      <c r="F9" s="30"/>
      <c r="G9" s="98">
        <v>0.2</v>
      </c>
      <c r="H9" s="35"/>
      <c r="I9" s="22"/>
      <c r="J9" s="23"/>
      <c r="K9" s="23"/>
      <c r="L9" s="23"/>
      <c r="M9" s="23"/>
      <c r="N9" s="23"/>
      <c r="O9" s="23"/>
      <c r="P9" s="24"/>
      <c r="R9" s="96"/>
      <c r="T9" s="96"/>
    </row>
    <row r="10" spans="1:20" ht="31.5" customHeight="1" thickBot="1" x14ac:dyDescent="0.25">
      <c r="B10" s="16"/>
      <c r="C10" s="17"/>
      <c r="D10" s="18"/>
      <c r="E10" s="19"/>
      <c r="F10" s="20" t="s">
        <v>9</v>
      </c>
      <c r="G10" s="99">
        <f>SUM(G$5:G$9)</f>
        <v>1</v>
      </c>
      <c r="H10" s="36"/>
      <c r="I10" s="56"/>
      <c r="J10" s="57"/>
      <c r="K10" s="57"/>
      <c r="L10" s="57"/>
      <c r="M10" s="57"/>
      <c r="N10" s="57"/>
      <c r="O10" s="57"/>
      <c r="P10" s="58"/>
      <c r="R10" s="97"/>
      <c r="T10" s="97"/>
    </row>
    <row r="11" spans="1:20" x14ac:dyDescent="0.2">
      <c r="H11" s="1"/>
      <c r="I11" s="23"/>
      <c r="J11" s="26"/>
      <c r="K11" s="23"/>
      <c r="L11" s="23"/>
      <c r="M11" s="23"/>
      <c r="N11" s="23"/>
      <c r="O11" s="26"/>
      <c r="P11" s="23"/>
    </row>
    <row r="12" spans="1:20" x14ac:dyDescent="0.2">
      <c r="H12" s="1"/>
      <c r="I12" s="32"/>
      <c r="J12" s="26"/>
      <c r="K12" s="23"/>
      <c r="L12" s="23"/>
      <c r="M12" s="23"/>
      <c r="N12" s="23"/>
      <c r="O12" s="26"/>
      <c r="P12" s="32"/>
    </row>
    <row r="13" spans="1:20" ht="19.5" customHeight="1" x14ac:dyDescent="0.25">
      <c r="A13" s="28"/>
      <c r="B13" s="103" t="s">
        <v>7</v>
      </c>
      <c r="C13" s="105"/>
      <c r="D13" s="105"/>
      <c r="E13" s="105"/>
      <c r="F13" s="105"/>
      <c r="G13" s="104"/>
      <c r="H13" s="1"/>
      <c r="I13" s="32"/>
      <c r="J13" s="26"/>
      <c r="K13" s="23"/>
      <c r="L13" s="23"/>
      <c r="M13" s="23"/>
      <c r="N13" s="23"/>
      <c r="O13" s="26"/>
      <c r="P13" s="32"/>
    </row>
    <row r="14" spans="1:20" ht="19.5" customHeight="1" x14ac:dyDescent="0.2">
      <c r="A14" s="28"/>
      <c r="B14" s="93" t="s">
        <v>5</v>
      </c>
      <c r="C14" s="6" t="str">
        <f t="array" ref="C14:G14">TRANSPOSE($C$5:$C$9)</f>
        <v>AMZN</v>
      </c>
      <c r="D14" s="6" t="str">
        <v>GE</v>
      </c>
      <c r="E14" s="6" t="str">
        <v>IBM</v>
      </c>
      <c r="F14" s="6" t="str">
        <v>PG</v>
      </c>
      <c r="G14" s="6" t="str">
        <v>WMT</v>
      </c>
      <c r="H14" s="1"/>
      <c r="I14" s="32"/>
      <c r="J14" s="26"/>
      <c r="K14" s="23"/>
      <c r="L14" s="23"/>
      <c r="M14" s="23"/>
      <c r="N14" s="23"/>
      <c r="O14" s="26"/>
      <c r="P14" s="32"/>
    </row>
    <row r="15" spans="1:20" ht="17.25" customHeight="1" x14ac:dyDescent="0.2">
      <c r="A15" s="3"/>
      <c r="B15" s="6" t="str">
        <f t="array" ref="B15:B19">Security_j</f>
        <v>AMZN</v>
      </c>
      <c r="C15" s="75"/>
      <c r="D15" s="75"/>
      <c r="E15" s="75"/>
      <c r="F15" s="75"/>
      <c r="G15" s="75"/>
      <c r="H15" s="1"/>
      <c r="I15" s="32"/>
      <c r="J15" s="26"/>
      <c r="K15" s="23"/>
      <c r="L15" s="23"/>
      <c r="M15" s="23"/>
      <c r="N15" s="23"/>
      <c r="O15" s="26"/>
      <c r="P15" s="32"/>
    </row>
    <row r="16" spans="1:20" ht="17.25" customHeight="1" x14ac:dyDescent="0.2">
      <c r="A16" s="3"/>
      <c r="B16" s="6" t="str">
        <v>GE</v>
      </c>
      <c r="C16" s="75"/>
      <c r="D16" s="75"/>
      <c r="E16" s="75"/>
      <c r="F16" s="75"/>
      <c r="G16" s="75"/>
      <c r="H16" s="1"/>
      <c r="I16" s="26"/>
      <c r="J16" s="26"/>
      <c r="K16" s="23"/>
      <c r="L16" s="23"/>
      <c r="M16" s="23"/>
      <c r="N16" s="23"/>
      <c r="O16" s="26"/>
      <c r="P16" s="26"/>
    </row>
    <row r="17" spans="1:36" ht="17.25" customHeight="1" x14ac:dyDescent="0.2">
      <c r="A17" s="3"/>
      <c r="B17" s="6" t="str">
        <v>IBM</v>
      </c>
      <c r="C17" s="75"/>
      <c r="D17" s="75"/>
      <c r="E17" s="75"/>
      <c r="F17" s="75"/>
      <c r="G17" s="75"/>
      <c r="H17" s="1"/>
      <c r="I17" s="26"/>
      <c r="J17" s="26"/>
      <c r="K17" s="23"/>
      <c r="L17" s="23"/>
      <c r="M17" s="23"/>
      <c r="N17" s="23"/>
      <c r="O17" s="26"/>
      <c r="P17" s="26"/>
    </row>
    <row r="18" spans="1:36" ht="17.25" customHeight="1" x14ac:dyDescent="0.2">
      <c r="A18" s="3"/>
      <c r="B18" s="6" t="str">
        <v>PG</v>
      </c>
      <c r="C18" s="75"/>
      <c r="D18" s="75"/>
      <c r="E18" s="75"/>
      <c r="F18" s="75"/>
      <c r="G18" s="75"/>
      <c r="H18" s="1"/>
      <c r="I18" s="26"/>
      <c r="J18" s="26"/>
      <c r="K18" s="23"/>
      <c r="L18" s="23"/>
      <c r="M18" s="23"/>
      <c r="N18" s="23"/>
      <c r="O18" s="26"/>
      <c r="P18" s="67"/>
    </row>
    <row r="19" spans="1:36" ht="17.25" customHeight="1" x14ac:dyDescent="0.2">
      <c r="A19" s="3"/>
      <c r="B19" s="6" t="str">
        <v>WMT</v>
      </c>
      <c r="C19" s="75"/>
      <c r="D19" s="75"/>
      <c r="E19" s="75"/>
      <c r="F19" s="75"/>
      <c r="G19" s="75"/>
      <c r="H19" s="1"/>
      <c r="I19" s="26"/>
      <c r="J19" s="8"/>
      <c r="K19" s="23"/>
      <c r="L19" s="23"/>
      <c r="M19" s="23"/>
      <c r="N19" s="23"/>
      <c r="O19" s="8"/>
      <c r="P19" s="67"/>
    </row>
    <row r="20" spans="1:36" ht="19.5" customHeight="1" x14ac:dyDescent="0.2">
      <c r="A20" s="28"/>
      <c r="B20" s="4"/>
      <c r="C20" s="1"/>
      <c r="G20" s="2"/>
      <c r="H20" s="1"/>
      <c r="I20" s="76"/>
      <c r="J20" s="67"/>
      <c r="K20" s="26"/>
      <c r="L20" s="5"/>
      <c r="M20" s="26"/>
      <c r="N20" s="26"/>
      <c r="O20" s="67"/>
      <c r="P20" s="8"/>
    </row>
    <row r="21" spans="1:36" ht="19.5" customHeight="1" x14ac:dyDescent="0.25">
      <c r="A21" s="28"/>
      <c r="B21" s="103" t="s">
        <v>6</v>
      </c>
      <c r="C21" s="105"/>
      <c r="D21" s="105"/>
      <c r="E21" s="105"/>
      <c r="F21" s="105"/>
      <c r="G21" s="104"/>
      <c r="H21" s="1"/>
      <c r="I21" s="1"/>
      <c r="N21"/>
    </row>
    <row r="22" spans="1:36" ht="19.5" customHeight="1" x14ac:dyDescent="0.2">
      <c r="A22" s="28"/>
      <c r="B22" s="93" t="s">
        <v>5</v>
      </c>
      <c r="C22" s="6" t="str">
        <f t="array" ref="C22:G22">TRANSPOSE($C$5:$C$9)</f>
        <v>AMZN</v>
      </c>
      <c r="D22" s="6" t="str">
        <v>GE</v>
      </c>
      <c r="E22" s="6" t="str">
        <v>IBM</v>
      </c>
      <c r="F22" s="6" t="str">
        <v>PG</v>
      </c>
      <c r="G22" s="6" t="str">
        <v>WMT</v>
      </c>
      <c r="H22" s="1"/>
    </row>
    <row r="23" spans="1:36" ht="17.25" customHeight="1" x14ac:dyDescent="0.2">
      <c r="A23" s="3"/>
      <c r="B23" s="6" t="str">
        <f t="array" ref="B23:B27">Security_j</f>
        <v>AMZN</v>
      </c>
      <c r="C23" s="75"/>
      <c r="D23" s="75"/>
      <c r="E23" s="75"/>
      <c r="F23" s="75"/>
      <c r="G23" s="75"/>
      <c r="H23" s="1"/>
    </row>
    <row r="24" spans="1:36" ht="17.25" customHeight="1" x14ac:dyDescent="0.2">
      <c r="A24" s="3"/>
      <c r="B24" s="6" t="str">
        <v>GE</v>
      </c>
      <c r="C24" s="75"/>
      <c r="D24" s="75"/>
      <c r="E24" s="75"/>
      <c r="F24" s="75"/>
      <c r="G24" s="75"/>
      <c r="H24" s="1"/>
    </row>
    <row r="25" spans="1:36" ht="17.25" customHeight="1" x14ac:dyDescent="0.2">
      <c r="A25" s="3"/>
      <c r="B25" s="6" t="str">
        <v>IBM</v>
      </c>
      <c r="C25" s="75"/>
      <c r="D25" s="75"/>
      <c r="E25" s="75"/>
      <c r="F25" s="75"/>
      <c r="G25" s="75"/>
      <c r="H25" s="1"/>
    </row>
    <row r="26" spans="1:36" ht="17.25" customHeight="1" x14ac:dyDescent="0.2">
      <c r="A26" s="3"/>
      <c r="B26" s="6" t="str">
        <v>PG</v>
      </c>
      <c r="C26" s="75"/>
      <c r="D26" s="75"/>
      <c r="E26" s="75"/>
      <c r="F26" s="75"/>
      <c r="G26" s="75"/>
      <c r="H26" s="1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</row>
    <row r="27" spans="1:36" ht="17.25" customHeight="1" x14ac:dyDescent="0.2">
      <c r="A27" s="3"/>
      <c r="B27" s="6" t="str">
        <v>WMT</v>
      </c>
      <c r="C27" s="75"/>
      <c r="D27" s="75"/>
      <c r="E27" s="75"/>
      <c r="F27" s="75"/>
      <c r="G27" s="75"/>
      <c r="H27" s="1"/>
    </row>
    <row r="28" spans="1:36" x14ac:dyDescent="0.2">
      <c r="B28" s="4"/>
      <c r="C28" s="1"/>
      <c r="G28" s="2"/>
      <c r="H28" s="1"/>
    </row>
    <row r="29" spans="1:36" ht="37.5" customHeight="1" x14ac:dyDescent="0.2">
      <c r="H29" s="1"/>
      <c r="AJ29" s="9"/>
    </row>
    <row r="30" spans="1:36" ht="12" customHeight="1" x14ac:dyDescent="0.2">
      <c r="F30" s="4" t="s">
        <v>55</v>
      </c>
      <c r="H30" s="1"/>
      <c r="I30" s="1"/>
    </row>
    <row r="31" spans="1:36" ht="15.75" x14ac:dyDescent="0.25">
      <c r="C31" s="103" t="s">
        <v>56</v>
      </c>
      <c r="D31" s="105"/>
      <c r="E31" s="104"/>
      <c r="F31" s="4" t="str">
        <f>C32&amp;" / "&amp;D32&amp;" Portfolio Curve"</f>
        <v>AMZN / GE Portfolio Curve</v>
      </c>
      <c r="H31" s="1"/>
      <c r="I31" s="1"/>
      <c r="N31" s="5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</row>
    <row r="32" spans="1:36" ht="15.75" x14ac:dyDescent="0.25">
      <c r="C32" s="6" t="str">
        <f t="array" ref="C32:G32">TRANSPOSE($C$5:$C$9)</f>
        <v>AMZN</v>
      </c>
      <c r="D32" s="6" t="str">
        <v>GE</v>
      </c>
      <c r="E32" s="6" t="str">
        <v>IBM</v>
      </c>
      <c r="F32" s="6" t="str">
        <v>PG</v>
      </c>
      <c r="G32" s="6" t="str">
        <v>WMT</v>
      </c>
      <c r="H32" s="6" t="s">
        <v>53</v>
      </c>
      <c r="I32" s="6" t="s">
        <v>52</v>
      </c>
      <c r="K32" s="103" t="s">
        <v>29</v>
      </c>
      <c r="L32" s="104"/>
      <c r="M32" s="7"/>
      <c r="N32" s="106" t="s">
        <v>4</v>
      </c>
      <c r="O32" s="107"/>
      <c r="P32" s="107"/>
      <c r="Q32" s="107"/>
      <c r="R32" s="107"/>
      <c r="S32" s="107"/>
      <c r="T32" s="107"/>
      <c r="U32" s="107"/>
      <c r="V32" s="107"/>
      <c r="W32" s="107"/>
      <c r="X32" s="107"/>
      <c r="Y32" s="107"/>
      <c r="Z32" s="107"/>
      <c r="AA32" s="107"/>
      <c r="AB32" s="107"/>
      <c r="AC32" s="107"/>
      <c r="AD32" s="107"/>
      <c r="AE32" s="107"/>
      <c r="AF32" s="107"/>
      <c r="AG32" s="107"/>
      <c r="AH32" s="107"/>
      <c r="AI32" s="108"/>
      <c r="AJ32" s="14"/>
    </row>
    <row r="33" spans="2:36" x14ac:dyDescent="0.2">
      <c r="C33" s="72">
        <v>1</v>
      </c>
      <c r="D33" s="72">
        <v>0</v>
      </c>
      <c r="E33" s="72">
        <v>0</v>
      </c>
      <c r="F33" s="72">
        <v>0</v>
      </c>
      <c r="G33" s="72">
        <v>0</v>
      </c>
      <c r="H33" s="87"/>
      <c r="I33" s="87"/>
      <c r="K33" s="21" t="s">
        <v>28</v>
      </c>
      <c r="L33" s="71" t="s">
        <v>30</v>
      </c>
      <c r="M33" s="26"/>
      <c r="N33" s="79" t="s">
        <v>27</v>
      </c>
      <c r="O33" s="6" t="s">
        <v>58</v>
      </c>
      <c r="P33" s="6" t="s">
        <v>57</v>
      </c>
      <c r="Q33" s="6" t="s">
        <v>67</v>
      </c>
      <c r="R33" s="6" t="s">
        <v>12</v>
      </c>
      <c r="S33" s="6" t="s">
        <v>13</v>
      </c>
      <c r="T33" s="6" t="s">
        <v>69</v>
      </c>
      <c r="U33" s="6" t="s">
        <v>14</v>
      </c>
      <c r="V33" s="6" t="s">
        <v>15</v>
      </c>
      <c r="W33" s="6" t="s">
        <v>16</v>
      </c>
      <c r="X33" s="6" t="s">
        <v>17</v>
      </c>
      <c r="Y33" s="6" t="s">
        <v>18</v>
      </c>
      <c r="Z33" s="6" t="s">
        <v>19</v>
      </c>
      <c r="AA33" s="6" t="s">
        <v>20</v>
      </c>
      <c r="AB33" s="6" t="s">
        <v>21</v>
      </c>
      <c r="AC33" s="6" t="s">
        <v>22</v>
      </c>
      <c r="AD33" s="6" t="s">
        <v>23</v>
      </c>
      <c r="AE33" s="6" t="s">
        <v>24</v>
      </c>
      <c r="AF33" s="6" t="s">
        <v>60</v>
      </c>
      <c r="AG33" s="6" t="s">
        <v>25</v>
      </c>
      <c r="AH33" s="6" t="s">
        <v>26</v>
      </c>
      <c r="AI33" s="6" t="s">
        <v>49</v>
      </c>
      <c r="AJ33" s="14"/>
    </row>
    <row r="34" spans="2:36" x14ac:dyDescent="0.2">
      <c r="C34" s="72">
        <v>0.95</v>
      </c>
      <c r="D34" s="72">
        <v>0.05</v>
      </c>
      <c r="E34" s="72">
        <v>0</v>
      </c>
      <c r="F34" s="72">
        <v>0</v>
      </c>
      <c r="G34" s="72">
        <v>0</v>
      </c>
      <c r="H34" s="87"/>
      <c r="I34" s="87"/>
      <c r="K34" s="43" t="s">
        <v>57</v>
      </c>
      <c r="L34" s="10" t="s">
        <v>31</v>
      </c>
      <c r="N34" s="77">
        <v>2003</v>
      </c>
      <c r="O34" s="38">
        <v>0.26380395990088884</v>
      </c>
      <c r="P34" s="80">
        <v>0.45373149912553185</v>
      </c>
      <c r="Q34" s="38">
        <v>0.49150141643059492</v>
      </c>
      <c r="R34" s="39">
        <v>1.7856008470089992</v>
      </c>
      <c r="S34" s="39">
        <v>0.85011895321173669</v>
      </c>
      <c r="T34" s="39">
        <v>0.30729166666666657</v>
      </c>
      <c r="U34" s="39">
        <v>0.50375939849624052</v>
      </c>
      <c r="V34" s="39">
        <v>0.20510523958799837</v>
      </c>
      <c r="W34" s="39">
        <v>1.0656934306569341</v>
      </c>
      <c r="X34" s="39">
        <v>0.18132854578096932</v>
      </c>
      <c r="Y34" s="39">
        <v>0.16202346041055712</v>
      </c>
      <c r="Z34" s="39">
        <v>0.56794141578519131</v>
      </c>
      <c r="AA34" s="39">
        <v>-0.11205193338978264</v>
      </c>
      <c r="AB34" s="39">
        <v>0.18488407106293286</v>
      </c>
      <c r="AC34" s="39">
        <v>0.34594594594594602</v>
      </c>
      <c r="AD34" s="39">
        <v>0.62757201646090532</v>
      </c>
      <c r="AE34" s="39">
        <v>0.29388448471121187</v>
      </c>
      <c r="AF34" s="39">
        <v>0.27319587628865977</v>
      </c>
      <c r="AG34" s="39">
        <v>5.7441253263707442E-2</v>
      </c>
      <c r="AH34" s="39">
        <v>0.20670995670995687</v>
      </c>
      <c r="AI34" s="40">
        <v>0.02</v>
      </c>
      <c r="AJ34" s="14"/>
    </row>
    <row r="35" spans="2:36" x14ac:dyDescent="0.2">
      <c r="C35" s="72">
        <v>0.95</v>
      </c>
      <c r="D35" s="72">
        <v>2.5000000000000001E-2</v>
      </c>
      <c r="E35" s="72">
        <v>2.5000000000000001E-2</v>
      </c>
      <c r="F35" s="72">
        <v>0</v>
      </c>
      <c r="G35" s="72">
        <v>0</v>
      </c>
      <c r="H35" s="87"/>
      <c r="I35" s="87"/>
      <c r="K35" s="44" t="s">
        <v>58</v>
      </c>
      <c r="L35" s="12" t="s">
        <v>32</v>
      </c>
      <c r="N35" s="77">
        <v>2004</v>
      </c>
      <c r="O35" s="38">
        <v>8.9934527663860703E-2</v>
      </c>
      <c r="P35" s="80">
        <v>0.16997360435258854</v>
      </c>
      <c r="Q35" s="38">
        <v>2.0132953466286803</v>
      </c>
      <c r="R35" s="39">
        <v>-0.15830482706195362</v>
      </c>
      <c r="S35" s="39">
        <v>-0.20274324903557639</v>
      </c>
      <c r="T35" s="39">
        <v>0.20672864099158927</v>
      </c>
      <c r="U35" s="39">
        <v>-8.6500000000000021E-2</v>
      </c>
      <c r="V35" s="39">
        <v>7.1844419670506587E-2</v>
      </c>
      <c r="W35" s="39">
        <v>-0.26580290537887713</v>
      </c>
      <c r="X35" s="39">
        <v>-0.16109422492401215</v>
      </c>
      <c r="Y35" s="39">
        <v>1.0094637223974884E-2</v>
      </c>
      <c r="Z35" s="39">
        <v>0.31551634665282835</v>
      </c>
      <c r="AA35" s="39">
        <v>-0.2774952320406866</v>
      </c>
      <c r="AB35" s="39">
        <v>0.12376111817026676</v>
      </c>
      <c r="AC35" s="39">
        <v>0.1917670682730922</v>
      </c>
      <c r="AD35" s="39">
        <v>0.88053097345132736</v>
      </c>
      <c r="AE35" s="39">
        <v>9.015317286652072E-2</v>
      </c>
      <c r="AF35" s="39">
        <v>0.43117408906882593</v>
      </c>
      <c r="AG35" s="39">
        <v>4.9382716049384059E-3</v>
      </c>
      <c r="AH35" s="39">
        <v>0.28041853512705517</v>
      </c>
      <c r="AI35" s="40">
        <v>0.02</v>
      </c>
      <c r="AJ35" s="14"/>
    </row>
    <row r="36" spans="2:36" x14ac:dyDescent="0.2">
      <c r="C36" s="72">
        <v>0.95</v>
      </c>
      <c r="D36" s="72">
        <v>2.5000000000000001E-2</v>
      </c>
      <c r="E36" s="72">
        <v>0</v>
      </c>
      <c r="F36" s="72">
        <v>2.5000000000000001E-2</v>
      </c>
      <c r="G36" s="72">
        <v>0</v>
      </c>
      <c r="H36" s="87"/>
      <c r="I36" s="87"/>
      <c r="K36" s="43" t="s">
        <v>67</v>
      </c>
      <c r="L36" s="10" t="s">
        <v>68</v>
      </c>
      <c r="N36" s="77">
        <v>2005</v>
      </c>
      <c r="O36" s="38">
        <v>3.0010231698461853E-2</v>
      </c>
      <c r="P36" s="80">
        <v>3.3227435271728251E-2</v>
      </c>
      <c r="Q36" s="38">
        <v>1.2325874566656161</v>
      </c>
      <c r="R36" s="39">
        <v>6.4574396026191E-2</v>
      </c>
      <c r="S36" s="39">
        <v>-0.11344086021505391</v>
      </c>
      <c r="T36" s="39">
        <v>-1.4306676449009558E-2</v>
      </c>
      <c r="U36" s="39">
        <v>-0.1559934318555008</v>
      </c>
      <c r="V36" s="39">
        <v>-0.15832659193343351</v>
      </c>
      <c r="W36" s="39">
        <v>8.1818181818181887E-2</v>
      </c>
      <c r="X36" s="39">
        <v>-6.6425120772946522E-3</v>
      </c>
      <c r="Y36" s="39">
        <v>1.0618363522798135E-2</v>
      </c>
      <c r="Z36" s="39">
        <v>7.3372781065088724E-2</v>
      </c>
      <c r="AA36" s="39">
        <v>4.0035195776506827E-2</v>
      </c>
      <c r="AB36" s="39">
        <v>7.1913161465400263E-2</v>
      </c>
      <c r="AC36" s="39">
        <v>-0.15501263689974726</v>
      </c>
      <c r="AD36" s="39">
        <v>-3.7647058823529443E-2</v>
      </c>
      <c r="AE36" s="39">
        <v>4.4560417503010818E-2</v>
      </c>
      <c r="AF36" s="39">
        <v>0.63696369636963679</v>
      </c>
      <c r="AG36" s="39">
        <v>-0.10297073933437584</v>
      </c>
      <c r="AH36" s="39">
        <v>0.11790800840532348</v>
      </c>
      <c r="AI36" s="40">
        <v>0.02</v>
      </c>
      <c r="AJ36" s="14"/>
    </row>
    <row r="37" spans="2:36" x14ac:dyDescent="0.2">
      <c r="C37" s="72">
        <v>0.95</v>
      </c>
      <c r="D37" s="72">
        <v>2.5000000000000001E-2</v>
      </c>
      <c r="E37" s="72">
        <v>0</v>
      </c>
      <c r="F37" s="72">
        <v>0</v>
      </c>
      <c r="G37" s="72">
        <v>2.5000000000000001E-2</v>
      </c>
      <c r="H37" s="87"/>
      <c r="I37" s="87"/>
      <c r="K37" s="44" t="s">
        <v>12</v>
      </c>
      <c r="L37" s="12" t="s">
        <v>33</v>
      </c>
      <c r="N37" s="77">
        <v>2006</v>
      </c>
      <c r="O37" s="38">
        <v>0.13619431382130753</v>
      </c>
      <c r="P37" s="80">
        <v>0.16998900805085995</v>
      </c>
      <c r="Q37" s="38">
        <v>0.18026538678712586</v>
      </c>
      <c r="R37" s="39">
        <v>-0.16309650053022265</v>
      </c>
      <c r="S37" s="39">
        <v>0.59611885991510027</v>
      </c>
      <c r="T37" s="39">
        <v>9.3040565686639376E-2</v>
      </c>
      <c r="U37" s="39">
        <v>0.1245136186770428</v>
      </c>
      <c r="V37" s="39">
        <v>0.19772071948372932</v>
      </c>
      <c r="W37" s="39">
        <v>-0.17202174987642119</v>
      </c>
      <c r="X37" s="39">
        <v>0.23100303951367787</v>
      </c>
      <c r="Y37" s="39">
        <v>-6.6131025957972822E-2</v>
      </c>
      <c r="Z37" s="39">
        <v>0.34656376332230793</v>
      </c>
      <c r="AA37" s="39">
        <v>0.42681895093062588</v>
      </c>
      <c r="AB37" s="39">
        <v>0.13396624472573843</v>
      </c>
      <c r="AC37" s="39">
        <v>-5.0348953140578169E-2</v>
      </c>
      <c r="AD37" s="39">
        <v>0.18023052741879148</v>
      </c>
      <c r="AE37" s="39">
        <v>0.16833205226748651</v>
      </c>
      <c r="AF37" s="39">
        <v>-0.37197580645161288</v>
      </c>
      <c r="AG37" s="39">
        <v>1.4940239043825269E-3</v>
      </c>
      <c r="AH37" s="39">
        <v>0.39076858813700921</v>
      </c>
      <c r="AI37" s="40">
        <v>0.02</v>
      </c>
      <c r="AJ37" s="14"/>
    </row>
    <row r="38" spans="2:36" x14ac:dyDescent="0.2">
      <c r="C38" s="72">
        <v>0.95</v>
      </c>
      <c r="D38" s="72">
        <v>1.6667000000000001E-2</v>
      </c>
      <c r="E38" s="72">
        <v>1.6667000000000001E-2</v>
      </c>
      <c r="F38" s="72">
        <v>1.6667000000000001E-2</v>
      </c>
      <c r="G38" s="72">
        <v>0</v>
      </c>
      <c r="H38" s="87"/>
      <c r="I38" s="87"/>
      <c r="K38" s="44" t="s">
        <v>13</v>
      </c>
      <c r="L38" s="12" t="s">
        <v>34</v>
      </c>
      <c r="N38" s="77">
        <v>2007</v>
      </c>
      <c r="O38" s="38">
        <v>3.529577663399841E-2</v>
      </c>
      <c r="P38" s="80">
        <v>-2.7461087271157602E-2</v>
      </c>
      <c r="Q38" s="38">
        <v>1.3346489654347564</v>
      </c>
      <c r="R38" s="39">
        <v>1.3476938672072984</v>
      </c>
      <c r="S38" s="39">
        <v>-9.4984802431610938E-3</v>
      </c>
      <c r="T38" s="39">
        <v>2.6898195437521252E-2</v>
      </c>
      <c r="U38" s="39">
        <v>0.1055363321799309</v>
      </c>
      <c r="V38" s="39">
        <v>0.12839619396996449</v>
      </c>
      <c r="W38" s="39">
        <v>0.34208955223880599</v>
      </c>
      <c r="X38" s="39">
        <v>0.30419753086419754</v>
      </c>
      <c r="Y38" s="39">
        <v>-0.2025148908007941</v>
      </c>
      <c r="Z38" s="39">
        <v>0.3638100436681222</v>
      </c>
      <c r="AA38" s="39">
        <v>0.37385117106433463</v>
      </c>
      <c r="AB38" s="39">
        <v>0.16632558139534878</v>
      </c>
      <c r="AC38" s="39">
        <v>6.8241469816273007E-2</v>
      </c>
      <c r="AD38" s="39">
        <v>-0.42201834862385318</v>
      </c>
      <c r="AE38" s="39">
        <v>-0.12171052631578945</v>
      </c>
      <c r="AF38" s="39">
        <v>-0.11671634946113268</v>
      </c>
      <c r="AG38" s="39">
        <v>4.8731974142217825E-2</v>
      </c>
      <c r="AH38" s="39">
        <v>0.24297942634029121</v>
      </c>
      <c r="AI38" s="40">
        <v>0.02</v>
      </c>
      <c r="AJ38" s="14"/>
    </row>
    <row r="39" spans="2:36" x14ac:dyDescent="0.2">
      <c r="C39" s="72">
        <v>0.95</v>
      </c>
      <c r="D39" s="72">
        <v>1.6667000000000001E-2</v>
      </c>
      <c r="E39" s="72">
        <v>1.6667000000000001E-2</v>
      </c>
      <c r="F39" s="72">
        <v>0</v>
      </c>
      <c r="G39" s="72">
        <v>1.6667000000000001E-2</v>
      </c>
      <c r="H39" s="87"/>
      <c r="I39" s="87"/>
      <c r="K39" s="44" t="s">
        <v>69</v>
      </c>
      <c r="L39" s="12" t="s">
        <v>70</v>
      </c>
      <c r="N39" s="77">
        <v>2008</v>
      </c>
      <c r="O39" s="38">
        <v>-0.38485793674575713</v>
      </c>
      <c r="P39" s="80">
        <v>-0.34800203647376732</v>
      </c>
      <c r="Q39" s="38">
        <v>-0.56910860655737705</v>
      </c>
      <c r="R39" s="39">
        <v>-0.44645941278065632</v>
      </c>
      <c r="S39" s="39">
        <v>-0.39777522056003073</v>
      </c>
      <c r="T39" s="39">
        <v>-0.53945623342175064</v>
      </c>
      <c r="U39" s="39">
        <v>-0.35837245696400627</v>
      </c>
      <c r="V39" s="39">
        <v>-0.20786345626333441</v>
      </c>
      <c r="W39" s="39">
        <v>-0.43505338078291816</v>
      </c>
      <c r="X39" s="39">
        <v>-0.24081787201817492</v>
      </c>
      <c r="Y39" s="39">
        <v>-0.29211618257261418</v>
      </c>
      <c r="Z39" s="39">
        <v>8.5851510906543915E-2</v>
      </c>
      <c r="AA39" s="39">
        <v>-0.45338800172637039</v>
      </c>
      <c r="AB39" s="39">
        <v>-0.13814005423512518</v>
      </c>
      <c r="AC39" s="39">
        <v>-0.38034398034398043</v>
      </c>
      <c r="AD39" s="39">
        <v>-0.53763440860215062</v>
      </c>
      <c r="AE39" s="39">
        <v>1.7228464419475689E-2</v>
      </c>
      <c r="AF39" s="39">
        <v>-0.7640186915887851</v>
      </c>
      <c r="AG39" s="39">
        <v>0.20009483167377898</v>
      </c>
      <c r="AH39" s="39">
        <v>-0.13108614232209731</v>
      </c>
      <c r="AI39" s="40">
        <v>0.02</v>
      </c>
      <c r="AJ39" s="14"/>
    </row>
    <row r="40" spans="2:36" x14ac:dyDescent="0.2">
      <c r="C40" s="72">
        <v>0.95</v>
      </c>
      <c r="D40" s="72">
        <v>1.6667000000000001E-2</v>
      </c>
      <c r="E40" s="72">
        <v>0</v>
      </c>
      <c r="F40" s="72">
        <v>1.6667000000000001E-2</v>
      </c>
      <c r="G40" s="72">
        <v>1.6667000000000001E-2</v>
      </c>
      <c r="H40" s="87"/>
      <c r="I40" s="87"/>
      <c r="K40" s="44" t="s">
        <v>14</v>
      </c>
      <c r="L40" s="12" t="s">
        <v>35</v>
      </c>
      <c r="N40" s="77">
        <v>2009</v>
      </c>
      <c r="O40" s="38">
        <v>0.23454193191253794</v>
      </c>
      <c r="P40" s="80">
        <v>0.25215737311042147</v>
      </c>
      <c r="Q40" s="38">
        <v>1.4689097610272261</v>
      </c>
      <c r="R40" s="39">
        <v>1.623244929797192</v>
      </c>
      <c r="S40" s="39">
        <v>0.46815286624203833</v>
      </c>
      <c r="T40" s="39">
        <v>-1.87185025197984E-2</v>
      </c>
      <c r="U40" s="39">
        <v>0.59756097560975585</v>
      </c>
      <c r="V40" s="39">
        <v>0.58637937668333973</v>
      </c>
      <c r="W40" s="39">
        <v>0.43858267716535437</v>
      </c>
      <c r="X40" s="39">
        <v>0.30274314214463843</v>
      </c>
      <c r="Y40" s="39">
        <v>0.32825322391559214</v>
      </c>
      <c r="Z40" s="39">
        <v>3.9624032436417225E-2</v>
      </c>
      <c r="AA40" s="39">
        <v>0.2668772206869327</v>
      </c>
      <c r="AB40" s="39">
        <v>1.1845271145659829E-2</v>
      </c>
      <c r="AC40" s="39">
        <v>0.14432989690721654</v>
      </c>
      <c r="AD40" s="39">
        <v>1.436323366555925</v>
      </c>
      <c r="AE40" s="39">
        <v>-6.1855670103092772E-2</v>
      </c>
      <c r="AF40" s="39">
        <v>1.9097909790979097</v>
      </c>
      <c r="AG40" s="39">
        <v>-2.5879099170288328E-2</v>
      </c>
      <c r="AH40" s="39">
        <v>-0.1261123470522803</v>
      </c>
      <c r="AI40" s="40">
        <v>0.02</v>
      </c>
      <c r="AJ40" s="14"/>
    </row>
    <row r="41" spans="2:36" x14ac:dyDescent="0.2">
      <c r="B41" s="3"/>
      <c r="C41" s="72">
        <v>0.95</v>
      </c>
      <c r="D41" s="72">
        <v>0</v>
      </c>
      <c r="E41" s="72">
        <v>0.05</v>
      </c>
      <c r="F41" s="72">
        <v>0</v>
      </c>
      <c r="G41" s="72">
        <v>0</v>
      </c>
      <c r="H41" s="87"/>
      <c r="I41" s="87"/>
      <c r="K41" s="44" t="s">
        <v>15</v>
      </c>
      <c r="L41" s="12" t="s">
        <v>36</v>
      </c>
      <c r="N41" s="77">
        <v>2010</v>
      </c>
      <c r="O41" s="38">
        <v>0.12782710070845682</v>
      </c>
      <c r="P41" s="80">
        <v>0.2530580917507475</v>
      </c>
      <c r="Q41" s="38">
        <v>0.53072329769816051</v>
      </c>
      <c r="R41" s="39">
        <v>0.33809099018733263</v>
      </c>
      <c r="S41" s="39">
        <v>-0.15488069414316705</v>
      </c>
      <c r="T41" s="39">
        <v>0.24284666177549524</v>
      </c>
      <c r="U41" s="39">
        <v>7.6844783715012813E-2</v>
      </c>
      <c r="V41" s="39">
        <v>0.14269544829816483</v>
      </c>
      <c r="W41" s="39">
        <v>6.2944718117132023E-2</v>
      </c>
      <c r="X41" s="39">
        <v>0.19027565084226641</v>
      </c>
      <c r="Y41" s="39">
        <v>0.13768755516328335</v>
      </c>
      <c r="Z41" s="39">
        <v>0.2694557702535012</v>
      </c>
      <c r="AA41" s="39">
        <v>2.9292614521657764E-2</v>
      </c>
      <c r="AB41" s="39">
        <v>9.3652826047192189E-2</v>
      </c>
      <c r="AC41" s="39">
        <v>0.59459459459459474</v>
      </c>
      <c r="AD41" s="39">
        <v>0.41272727272727266</v>
      </c>
      <c r="AE41" s="39">
        <v>0.15620094191522765</v>
      </c>
      <c r="AF41" s="39">
        <v>0.84272211720226853</v>
      </c>
      <c r="AG41" s="39">
        <v>3.2244980734130929E-2</v>
      </c>
      <c r="AH41" s="39">
        <v>0.10135242641209224</v>
      </c>
      <c r="AI41" s="40">
        <v>0.02</v>
      </c>
      <c r="AJ41" s="14"/>
    </row>
    <row r="42" spans="2:36" x14ac:dyDescent="0.2">
      <c r="B42" s="3"/>
      <c r="C42" s="72">
        <v>0.95</v>
      </c>
      <c r="D42" s="72">
        <v>0</v>
      </c>
      <c r="E42" s="72">
        <v>2.5000000000000001E-2</v>
      </c>
      <c r="F42" s="72">
        <v>2.5000000000000001E-2</v>
      </c>
      <c r="G42" s="72">
        <v>0</v>
      </c>
      <c r="H42" s="87"/>
      <c r="I42" s="87"/>
      <c r="K42" s="44" t="s">
        <v>16</v>
      </c>
      <c r="L42" s="12" t="s">
        <v>37</v>
      </c>
      <c r="N42" s="77">
        <v>2011</v>
      </c>
      <c r="O42" s="38">
        <v>-3.1805604147602644E-5</v>
      </c>
      <c r="P42" s="80">
        <v>-5.4526893383525836E-2</v>
      </c>
      <c r="Q42" s="38">
        <v>0.25557617894107659</v>
      </c>
      <c r="R42" s="39">
        <v>-3.8333333333333365E-2</v>
      </c>
      <c r="S42" s="39">
        <v>-9.5995893223819351E-2</v>
      </c>
      <c r="T42" s="39">
        <v>1.3577331759149965E-2</v>
      </c>
      <c r="U42" s="39">
        <v>-0.13799621928166358</v>
      </c>
      <c r="V42" s="39">
        <v>0.27409084477147311</v>
      </c>
      <c r="W42" s="39">
        <v>0.19412976313079297</v>
      </c>
      <c r="X42" s="39">
        <v>9.4564168542939891E-2</v>
      </c>
      <c r="Y42" s="39">
        <v>-0.3390224980605121</v>
      </c>
      <c r="Z42" s="39">
        <v>0.34659963692221768</v>
      </c>
      <c r="AA42" s="39">
        <v>9.5670602482591474E-2</v>
      </c>
      <c r="AB42" s="39">
        <v>7.0580364609466567E-2</v>
      </c>
      <c r="AC42" s="39">
        <v>0.60973489787049096</v>
      </c>
      <c r="AD42" s="39">
        <v>0.45334620334620346</v>
      </c>
      <c r="AE42" s="39">
        <v>-9.538357094365249E-2</v>
      </c>
      <c r="AF42" s="39">
        <v>0.38469429626590051</v>
      </c>
      <c r="AG42" s="39">
        <v>0.13850687622789792</v>
      </c>
      <c r="AH42" s="39">
        <v>0.18665125686217859</v>
      </c>
      <c r="AI42" s="40">
        <v>0.02</v>
      </c>
      <c r="AJ42" s="14"/>
    </row>
    <row r="43" spans="2:36" x14ac:dyDescent="0.2">
      <c r="B43" s="3"/>
      <c r="C43" s="72">
        <v>0.95</v>
      </c>
      <c r="D43" s="72">
        <v>0</v>
      </c>
      <c r="E43" s="72">
        <v>2.5000000000000001E-2</v>
      </c>
      <c r="F43" s="72">
        <v>0</v>
      </c>
      <c r="G43" s="72">
        <v>2.5000000000000001E-2</v>
      </c>
      <c r="H43" s="87"/>
      <c r="I43" s="87"/>
      <c r="K43" s="44" t="s">
        <v>17</v>
      </c>
      <c r="L43" s="12" t="s">
        <v>38</v>
      </c>
      <c r="N43" s="78">
        <v>2012</v>
      </c>
      <c r="O43" s="41">
        <v>0.13402086447632069</v>
      </c>
      <c r="P43" s="81">
        <v>8.3838448286862821E-2</v>
      </c>
      <c r="Q43" s="41">
        <v>0.32567462604294561</v>
      </c>
      <c r="R43" s="42">
        <v>0.39372222222222225</v>
      </c>
      <c r="S43" s="42">
        <v>8.7268993839834785E-3</v>
      </c>
      <c r="T43" s="42">
        <v>0.22904368358913807</v>
      </c>
      <c r="U43" s="42">
        <v>0.46691871455576556</v>
      </c>
      <c r="V43" s="42">
        <v>0.34958256686005373</v>
      </c>
      <c r="W43" s="42">
        <v>5.0463439752831969E-2</v>
      </c>
      <c r="X43" s="42">
        <v>0.16596976519781281</v>
      </c>
      <c r="Y43" s="42">
        <v>-0.20636152055857254</v>
      </c>
      <c r="Z43" s="42">
        <v>0.22189638318670576</v>
      </c>
      <c r="AA43" s="42">
        <v>0.23947926127762628</v>
      </c>
      <c r="AB43" s="42">
        <v>0.12627529687238676</v>
      </c>
      <c r="AC43" s="42">
        <v>0.9561060408518034</v>
      </c>
      <c r="AD43" s="42">
        <v>0.71911196911196917</v>
      </c>
      <c r="AE43" s="42">
        <v>0.15207060420909696</v>
      </c>
      <c r="AF43" s="42">
        <v>0.86622897004513721</v>
      </c>
      <c r="AG43" s="42">
        <v>0.33182711198428305</v>
      </c>
      <c r="AH43" s="42">
        <v>0.24241548685351055</v>
      </c>
      <c r="AI43" s="40">
        <v>0.02</v>
      </c>
      <c r="AJ43" s="14"/>
    </row>
    <row r="44" spans="2:36" x14ac:dyDescent="0.2">
      <c r="B44" s="3"/>
      <c r="C44" s="72">
        <v>0.95</v>
      </c>
      <c r="D44" s="72">
        <v>0</v>
      </c>
      <c r="E44" s="72">
        <v>1.6667000000000001E-2</v>
      </c>
      <c r="F44" s="72">
        <v>1.6667000000000001E-2</v>
      </c>
      <c r="G44" s="72">
        <v>1.6667000000000001E-2</v>
      </c>
      <c r="H44" s="87"/>
      <c r="I44" s="87"/>
      <c r="K44" s="44" t="s">
        <v>18</v>
      </c>
      <c r="L44" s="12" t="s">
        <v>39</v>
      </c>
      <c r="N44" s="89"/>
      <c r="O44" s="90"/>
      <c r="P44" s="90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  <c r="AD44" s="91"/>
      <c r="AE44" s="91"/>
      <c r="AF44" s="91"/>
      <c r="AG44" s="91"/>
      <c r="AH44" s="91"/>
      <c r="AI44" s="92"/>
      <c r="AJ44" s="14"/>
    </row>
    <row r="45" spans="2:36" ht="18.75" x14ac:dyDescent="0.35">
      <c r="B45" s="3"/>
      <c r="C45" s="72">
        <v>0.95</v>
      </c>
      <c r="D45" s="72">
        <v>0</v>
      </c>
      <c r="E45" s="72">
        <v>0</v>
      </c>
      <c r="F45" s="72">
        <v>0.05</v>
      </c>
      <c r="G45" s="72">
        <v>0</v>
      </c>
      <c r="H45" s="87"/>
      <c r="I45" s="87"/>
      <c r="K45" s="44" t="s">
        <v>19</v>
      </c>
      <c r="L45" s="12" t="s">
        <v>40</v>
      </c>
      <c r="N45" s="59" t="s">
        <v>0</v>
      </c>
      <c r="O45" s="60">
        <f t="shared" ref="O45:AI45" si="0">AVERAGE(O$34:O$43)</f>
        <v>6.6673896446592801E-2</v>
      </c>
      <c r="P45" s="82">
        <f t="shared" si="0"/>
        <v>9.8598544282028952E-2</v>
      </c>
      <c r="Q45" s="60">
        <f t="shared" si="0"/>
        <v>0.72640738290988049</v>
      </c>
      <c r="R45" s="61">
        <f t="shared" si="0"/>
        <v>0.474673317874307</v>
      </c>
      <c r="S45" s="61">
        <f t="shared" si="0"/>
        <v>9.4878318133205047E-2</v>
      </c>
      <c r="T45" s="61">
        <f t="shared" si="0"/>
        <v>5.4694533351564122E-2</v>
      </c>
      <c r="U45" s="61">
        <f t="shared" si="0"/>
        <v>0.11362717151325777</v>
      </c>
      <c r="V45" s="61">
        <f t="shared" si="0"/>
        <v>0.15896247611284622</v>
      </c>
      <c r="W45" s="61">
        <f t="shared" si="0"/>
        <v>0.1362843726841817</v>
      </c>
      <c r="X45" s="61">
        <f t="shared" si="0"/>
        <v>0.10615272338670205</v>
      </c>
      <c r="Y45" s="61">
        <f t="shared" si="0"/>
        <v>-4.5746887771426013E-2</v>
      </c>
      <c r="Z45" s="61">
        <f t="shared" si="0"/>
        <v>0.26306316841989241</v>
      </c>
      <c r="AA45" s="61">
        <f t="shared" si="0"/>
        <v>6.29089849583436E-2</v>
      </c>
      <c r="AB45" s="61">
        <f t="shared" si="0"/>
        <v>8.4506388125926729E-2</v>
      </c>
      <c r="AC45" s="61">
        <f t="shared" si="0"/>
        <v>0.23250143438751109</v>
      </c>
      <c r="AD45" s="61">
        <f t="shared" si="0"/>
        <v>0.37125425130228618</v>
      </c>
      <c r="AE45" s="61">
        <f t="shared" si="0"/>
        <v>6.4348037052949558E-2</v>
      </c>
      <c r="AF45" s="61">
        <f t="shared" si="0"/>
        <v>0.40920591768368081</v>
      </c>
      <c r="AG45" s="61">
        <f t="shared" si="0"/>
        <v>6.8642948503067291E-2</v>
      </c>
      <c r="AH45" s="61">
        <f t="shared" si="0"/>
        <v>0.15120051954730399</v>
      </c>
      <c r="AI45" s="70">
        <f t="shared" si="0"/>
        <v>1.9999999999999997E-2</v>
      </c>
      <c r="AJ45" s="14"/>
    </row>
    <row r="46" spans="2:36" ht="18.75" x14ac:dyDescent="0.35">
      <c r="B46" s="4"/>
      <c r="C46" s="72">
        <v>0.95</v>
      </c>
      <c r="D46" s="72">
        <v>0</v>
      </c>
      <c r="E46" s="72">
        <v>0</v>
      </c>
      <c r="F46" s="72">
        <v>2.5000000000000001E-2</v>
      </c>
      <c r="G46" s="72">
        <v>2.5000000000000001E-2</v>
      </c>
      <c r="H46" s="87"/>
      <c r="I46" s="87"/>
      <c r="K46" s="44" t="s">
        <v>20</v>
      </c>
      <c r="L46" s="12" t="s">
        <v>41</v>
      </c>
      <c r="N46" s="59" t="s">
        <v>1</v>
      </c>
      <c r="O46" s="60">
        <f t="shared" ref="O46:AI46" si="1">STDEV(O$34:O$43)</f>
        <v>0.17992247433190173</v>
      </c>
      <c r="P46" s="82">
        <f t="shared" si="1"/>
        <v>0.21782516696615548</v>
      </c>
      <c r="Q46" s="60">
        <f t="shared" si="1"/>
        <v>0.76637248708863903</v>
      </c>
      <c r="R46" s="61">
        <f t="shared" si="1"/>
        <v>0.81051249607492837</v>
      </c>
      <c r="S46" s="61">
        <f t="shared" si="1"/>
        <v>0.40177059293559653</v>
      </c>
      <c r="T46" s="61">
        <f t="shared" si="1"/>
        <v>0.24032801301903614</v>
      </c>
      <c r="U46" s="61">
        <f t="shared" si="1"/>
        <v>0.31825759146834937</v>
      </c>
      <c r="V46" s="61">
        <f t="shared" si="1"/>
        <v>0.23092307765229278</v>
      </c>
      <c r="W46" s="61">
        <f t="shared" si="1"/>
        <v>0.42160427725474214</v>
      </c>
      <c r="X46" s="61">
        <f t="shared" si="1"/>
        <v>0.18691349004414828</v>
      </c>
      <c r="Y46" s="61">
        <f t="shared" si="1"/>
        <v>0.21614946130131793</v>
      </c>
      <c r="Z46" s="61">
        <f t="shared" si="1"/>
        <v>0.16290751878207071</v>
      </c>
      <c r="AA46" s="61">
        <f t="shared" si="1"/>
        <v>0.28238491001455535</v>
      </c>
      <c r="AB46" s="61">
        <f t="shared" si="1"/>
        <v>9.2969032857938741E-2</v>
      </c>
      <c r="AC46" s="61">
        <f t="shared" si="1"/>
        <v>0.40167090875109163</v>
      </c>
      <c r="AD46" s="61">
        <f t="shared" si="1"/>
        <v>0.60073549800479253</v>
      </c>
      <c r="AE46" s="61">
        <f t="shared" si="1"/>
        <v>0.13290302290966113</v>
      </c>
      <c r="AF46" s="61">
        <f t="shared" si="1"/>
        <v>0.7441111588428021</v>
      </c>
      <c r="AG46" s="61">
        <f t="shared" si="1"/>
        <v>0.12482260572975949</v>
      </c>
      <c r="AH46" s="61">
        <f t="shared" si="1"/>
        <v>0.16844160035112912</v>
      </c>
      <c r="AI46" s="70">
        <f t="shared" si="1"/>
        <v>3.6571181964340638E-18</v>
      </c>
      <c r="AJ46" s="14"/>
    </row>
    <row r="47" spans="2:36" x14ac:dyDescent="0.2">
      <c r="C47" s="72">
        <v>0.95</v>
      </c>
      <c r="D47" s="72">
        <v>0</v>
      </c>
      <c r="E47" s="72">
        <v>0</v>
      </c>
      <c r="F47" s="72">
        <v>0</v>
      </c>
      <c r="G47" s="72">
        <v>0.05</v>
      </c>
      <c r="H47" s="87"/>
      <c r="I47" s="87"/>
      <c r="K47" s="44" t="s">
        <v>21</v>
      </c>
      <c r="L47" s="12" t="s">
        <v>42</v>
      </c>
      <c r="AJ47" s="14"/>
    </row>
    <row r="48" spans="2:36" x14ac:dyDescent="0.2">
      <c r="C48" s="72">
        <v>0.9</v>
      </c>
      <c r="D48" s="72">
        <v>0.1</v>
      </c>
      <c r="E48" s="72">
        <v>0</v>
      </c>
      <c r="F48" s="72">
        <v>0</v>
      </c>
      <c r="G48" s="72">
        <v>0</v>
      </c>
      <c r="H48" s="87"/>
      <c r="I48" s="87"/>
      <c r="K48" s="44" t="s">
        <v>22</v>
      </c>
      <c r="L48" s="12" t="s">
        <v>43</v>
      </c>
      <c r="AJ48" s="14"/>
    </row>
    <row r="49" spans="3:36" x14ac:dyDescent="0.2">
      <c r="C49" s="72">
        <v>0.9</v>
      </c>
      <c r="D49" s="72">
        <v>0.05</v>
      </c>
      <c r="E49" s="72">
        <v>0.05</v>
      </c>
      <c r="F49" s="72">
        <v>0</v>
      </c>
      <c r="G49" s="72">
        <v>0</v>
      </c>
      <c r="H49" s="87"/>
      <c r="I49" s="87"/>
      <c r="K49" s="44" t="s">
        <v>23</v>
      </c>
      <c r="L49" s="12" t="s">
        <v>44</v>
      </c>
      <c r="N49" s="7"/>
      <c r="O49" s="94"/>
      <c r="P49" s="94"/>
      <c r="Q49" s="94"/>
      <c r="R49" s="94"/>
      <c r="S49" s="94"/>
      <c r="T49" s="94"/>
      <c r="U49" s="94"/>
      <c r="V49" s="94"/>
      <c r="W49" s="94"/>
      <c r="X49" s="94"/>
      <c r="Y49" s="94"/>
      <c r="Z49" s="94"/>
      <c r="AA49" s="94"/>
      <c r="AB49" s="94"/>
      <c r="AC49" s="94"/>
      <c r="AD49" s="94"/>
      <c r="AE49" s="94"/>
      <c r="AF49" s="94"/>
      <c r="AG49" s="94"/>
      <c r="AH49" s="94"/>
      <c r="AI49" s="94"/>
      <c r="AJ49" s="14"/>
    </row>
    <row r="50" spans="3:36" x14ac:dyDescent="0.2">
      <c r="C50" s="72">
        <v>0.9</v>
      </c>
      <c r="D50" s="72">
        <v>0.05</v>
      </c>
      <c r="E50" s="72">
        <v>0</v>
      </c>
      <c r="F50" s="72">
        <v>0.05</v>
      </c>
      <c r="G50" s="72">
        <v>0</v>
      </c>
      <c r="H50" s="87"/>
      <c r="I50" s="87"/>
      <c r="K50" s="44" t="s">
        <v>24</v>
      </c>
      <c r="L50" s="12" t="s">
        <v>45</v>
      </c>
      <c r="N50" s="7"/>
      <c r="O50" s="94"/>
      <c r="P50" s="94"/>
      <c r="Q50" s="94"/>
      <c r="R50" s="94"/>
      <c r="S50" s="94"/>
      <c r="T50" s="94"/>
      <c r="U50" s="94"/>
      <c r="V50" s="94"/>
      <c r="W50" s="94"/>
      <c r="X50" s="94"/>
      <c r="Y50" s="94"/>
      <c r="Z50" s="94"/>
      <c r="AA50" s="94"/>
      <c r="AB50" s="94"/>
      <c r="AC50" s="94"/>
      <c r="AD50" s="94"/>
      <c r="AE50" s="94"/>
      <c r="AF50" s="94"/>
      <c r="AG50" s="94"/>
      <c r="AH50" s="94"/>
      <c r="AI50" s="94"/>
      <c r="AJ50" s="14"/>
    </row>
    <row r="51" spans="3:36" x14ac:dyDescent="0.2">
      <c r="C51" s="72">
        <v>0.9</v>
      </c>
      <c r="D51" s="72">
        <v>0.05</v>
      </c>
      <c r="E51" s="72">
        <v>0</v>
      </c>
      <c r="F51" s="72">
        <v>0</v>
      </c>
      <c r="G51" s="72">
        <v>0.05</v>
      </c>
      <c r="H51" s="87"/>
      <c r="I51" s="87"/>
      <c r="K51" s="44" t="s">
        <v>60</v>
      </c>
      <c r="L51" s="12" t="s">
        <v>46</v>
      </c>
      <c r="N51" s="7"/>
      <c r="O51" s="94"/>
      <c r="P51" s="94"/>
      <c r="Q51" s="94"/>
      <c r="R51" s="94"/>
      <c r="S51" s="94"/>
      <c r="T51" s="94"/>
      <c r="U51" s="94"/>
      <c r="V51" s="94"/>
      <c r="W51" s="94"/>
      <c r="X51" s="94"/>
      <c r="Y51" s="94"/>
      <c r="Z51" s="94"/>
      <c r="AA51" s="94"/>
      <c r="AB51" s="94"/>
      <c r="AC51" s="94"/>
      <c r="AD51" s="94"/>
      <c r="AE51" s="94"/>
      <c r="AF51" s="94"/>
      <c r="AG51" s="94"/>
      <c r="AH51" s="94"/>
      <c r="AI51" s="94"/>
      <c r="AJ51" s="14"/>
    </row>
    <row r="52" spans="3:36" x14ac:dyDescent="0.2">
      <c r="C52" s="72">
        <v>0.9</v>
      </c>
      <c r="D52" s="72">
        <v>3.3333000000000002E-2</v>
      </c>
      <c r="E52" s="72">
        <v>3.3333000000000002E-2</v>
      </c>
      <c r="F52" s="72">
        <v>3.3333000000000002E-2</v>
      </c>
      <c r="G52" s="72">
        <v>0</v>
      </c>
      <c r="H52" s="87"/>
      <c r="I52" s="87"/>
      <c r="K52" s="44" t="s">
        <v>25</v>
      </c>
      <c r="L52" s="12" t="s">
        <v>47</v>
      </c>
      <c r="N52" s="7"/>
      <c r="O52" s="94"/>
      <c r="P52" s="94"/>
      <c r="Q52" s="94"/>
      <c r="R52" s="94"/>
      <c r="S52" s="94"/>
      <c r="T52" s="94"/>
      <c r="U52" s="94"/>
      <c r="V52" s="94"/>
      <c r="W52" s="94"/>
      <c r="X52" s="94"/>
      <c r="Y52" s="94"/>
      <c r="Z52" s="94"/>
      <c r="AA52" s="94"/>
      <c r="AB52" s="94"/>
      <c r="AC52" s="94"/>
      <c r="AD52" s="94"/>
      <c r="AE52" s="94"/>
      <c r="AF52" s="94"/>
      <c r="AG52" s="94"/>
      <c r="AH52" s="94"/>
      <c r="AI52" s="94"/>
      <c r="AJ52" s="14"/>
    </row>
    <row r="53" spans="3:36" x14ac:dyDescent="0.2">
      <c r="C53" s="72">
        <v>0.9</v>
      </c>
      <c r="D53" s="72">
        <v>3.3333000000000002E-2</v>
      </c>
      <c r="E53" s="72">
        <v>3.3333000000000002E-2</v>
      </c>
      <c r="F53" s="72">
        <v>0</v>
      </c>
      <c r="G53" s="72">
        <v>3.3333000000000002E-2</v>
      </c>
      <c r="H53" s="87"/>
      <c r="I53" s="87"/>
      <c r="K53" s="45" t="s">
        <v>26</v>
      </c>
      <c r="L53" s="11" t="s">
        <v>48</v>
      </c>
      <c r="N53" s="7"/>
      <c r="O53" s="94"/>
      <c r="P53" s="94"/>
      <c r="Q53" s="94"/>
      <c r="R53" s="94"/>
      <c r="S53" s="94"/>
      <c r="T53" s="94"/>
      <c r="U53" s="94"/>
      <c r="V53" s="94"/>
      <c r="W53" s="94"/>
      <c r="X53" s="94"/>
      <c r="Y53" s="94"/>
      <c r="Z53" s="94"/>
      <c r="AA53" s="94"/>
      <c r="AB53" s="94"/>
      <c r="AC53" s="94"/>
      <c r="AD53" s="94"/>
      <c r="AE53" s="94"/>
      <c r="AF53" s="94"/>
      <c r="AG53" s="94"/>
      <c r="AH53" s="94"/>
      <c r="AI53" s="94"/>
      <c r="AJ53" s="14"/>
    </row>
    <row r="54" spans="3:36" x14ac:dyDescent="0.2">
      <c r="C54" s="72">
        <v>0.9</v>
      </c>
      <c r="D54" s="72">
        <v>3.3333000000000002E-2</v>
      </c>
      <c r="E54" s="72">
        <v>0</v>
      </c>
      <c r="F54" s="72">
        <v>3.3333000000000002E-2</v>
      </c>
      <c r="G54" s="72">
        <v>3.3333000000000002E-2</v>
      </c>
      <c r="H54" s="87"/>
      <c r="I54" s="87"/>
      <c r="K54" s="45" t="s">
        <v>49</v>
      </c>
      <c r="L54" s="11" t="s">
        <v>50</v>
      </c>
      <c r="N54" s="7"/>
      <c r="O54" s="94"/>
      <c r="P54" s="94"/>
      <c r="Q54" s="94"/>
      <c r="R54" s="94"/>
      <c r="S54" s="94"/>
      <c r="T54" s="94"/>
      <c r="U54" s="94"/>
      <c r="V54" s="94"/>
      <c r="W54" s="94"/>
      <c r="X54" s="94"/>
      <c r="Y54" s="94"/>
      <c r="Z54" s="94"/>
      <c r="AA54" s="94"/>
      <c r="AB54" s="94"/>
      <c r="AC54" s="94"/>
      <c r="AD54" s="94"/>
      <c r="AE54" s="94"/>
      <c r="AF54" s="94"/>
      <c r="AG54" s="94"/>
      <c r="AH54" s="94"/>
      <c r="AI54" s="94"/>
      <c r="AJ54" s="14"/>
    </row>
    <row r="55" spans="3:36" x14ac:dyDescent="0.2">
      <c r="C55" s="72">
        <v>0.9</v>
      </c>
      <c r="D55" s="72">
        <v>0</v>
      </c>
      <c r="E55" s="72">
        <v>0.1</v>
      </c>
      <c r="F55" s="72">
        <v>0</v>
      </c>
      <c r="G55" s="72">
        <v>0</v>
      </c>
      <c r="H55" s="87"/>
      <c r="I55" s="87"/>
      <c r="N55" s="7"/>
      <c r="O55" s="94"/>
      <c r="P55" s="94"/>
      <c r="Q55" s="94"/>
      <c r="R55" s="94"/>
      <c r="S55" s="94"/>
      <c r="T55" s="94"/>
      <c r="U55" s="94"/>
      <c r="V55" s="94"/>
      <c r="W55" s="94"/>
      <c r="X55" s="94"/>
      <c r="Y55" s="94"/>
      <c r="Z55" s="94"/>
      <c r="AA55" s="94"/>
      <c r="AB55" s="94"/>
      <c r="AC55" s="94"/>
      <c r="AD55" s="94"/>
      <c r="AE55" s="94"/>
      <c r="AF55" s="94"/>
      <c r="AG55" s="94"/>
      <c r="AH55" s="94"/>
      <c r="AI55" s="94"/>
      <c r="AJ55" s="14"/>
    </row>
    <row r="56" spans="3:36" x14ac:dyDescent="0.2">
      <c r="C56" s="72">
        <v>0.9</v>
      </c>
      <c r="D56" s="72">
        <v>0</v>
      </c>
      <c r="E56" s="72">
        <v>0.05</v>
      </c>
      <c r="F56" s="72">
        <v>0.05</v>
      </c>
      <c r="G56" s="72">
        <v>0</v>
      </c>
      <c r="H56" s="87"/>
      <c r="I56" s="87"/>
      <c r="N56" s="7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94"/>
      <c r="AG56" s="94"/>
      <c r="AH56" s="94"/>
      <c r="AI56" s="94"/>
      <c r="AJ56" s="14"/>
    </row>
    <row r="57" spans="3:36" x14ac:dyDescent="0.2">
      <c r="C57" s="72">
        <v>0.9</v>
      </c>
      <c r="D57" s="72">
        <v>0</v>
      </c>
      <c r="E57" s="72">
        <v>0.05</v>
      </c>
      <c r="F57" s="72">
        <v>0</v>
      </c>
      <c r="G57" s="72">
        <v>0.05</v>
      </c>
      <c r="H57" s="87"/>
      <c r="I57" s="87"/>
      <c r="N57" s="7"/>
      <c r="O57" s="94"/>
      <c r="P57" s="94"/>
      <c r="Q57" s="94"/>
      <c r="R57" s="94"/>
      <c r="S57" s="94"/>
      <c r="T57" s="94"/>
      <c r="U57" s="94"/>
      <c r="V57" s="94"/>
      <c r="W57" s="94"/>
      <c r="X57" s="94"/>
      <c r="Y57" s="94"/>
      <c r="Z57" s="94"/>
      <c r="AA57" s="94"/>
      <c r="AB57" s="94"/>
      <c r="AC57" s="94"/>
      <c r="AD57" s="94"/>
      <c r="AE57" s="94"/>
      <c r="AF57" s="94"/>
      <c r="AG57" s="94"/>
      <c r="AH57" s="94"/>
      <c r="AI57" s="94"/>
      <c r="AJ57" s="14"/>
    </row>
    <row r="58" spans="3:36" x14ac:dyDescent="0.2">
      <c r="C58" s="72">
        <v>0.9</v>
      </c>
      <c r="D58" s="72">
        <v>0</v>
      </c>
      <c r="E58" s="72">
        <v>3.3333000000000002E-2</v>
      </c>
      <c r="F58" s="72">
        <v>3.3333000000000002E-2</v>
      </c>
      <c r="G58" s="72">
        <v>3.3333000000000002E-2</v>
      </c>
      <c r="H58" s="87"/>
      <c r="I58" s="87"/>
      <c r="N58" s="7"/>
      <c r="O58" s="94"/>
      <c r="P58" s="94"/>
      <c r="Q58" s="94"/>
      <c r="R58" s="94"/>
      <c r="S58" s="94"/>
      <c r="T58" s="94"/>
      <c r="U58" s="94"/>
      <c r="V58" s="94"/>
      <c r="W58" s="94"/>
      <c r="X58" s="94"/>
      <c r="Y58" s="94"/>
      <c r="Z58" s="94"/>
      <c r="AA58" s="94"/>
      <c r="AB58" s="94"/>
      <c r="AC58" s="94"/>
      <c r="AD58" s="94"/>
      <c r="AE58" s="94"/>
      <c r="AF58" s="94"/>
      <c r="AG58" s="94"/>
      <c r="AH58" s="94"/>
      <c r="AI58" s="94"/>
      <c r="AJ58" s="14"/>
    </row>
    <row r="59" spans="3:36" x14ac:dyDescent="0.2">
      <c r="C59" s="72">
        <v>0.9</v>
      </c>
      <c r="D59" s="72">
        <v>0</v>
      </c>
      <c r="E59" s="72">
        <v>0</v>
      </c>
      <c r="F59" s="72">
        <v>0.1</v>
      </c>
      <c r="G59" s="72">
        <v>0</v>
      </c>
      <c r="H59" s="87"/>
      <c r="I59" s="87"/>
      <c r="N59" s="7"/>
      <c r="O59" s="94"/>
      <c r="P59" s="94"/>
      <c r="Q59" s="94"/>
      <c r="R59" s="94"/>
      <c r="S59" s="94"/>
      <c r="T59" s="94"/>
      <c r="U59" s="94"/>
      <c r="V59" s="94"/>
      <c r="W59" s="94"/>
      <c r="X59" s="94"/>
      <c r="Y59" s="94"/>
      <c r="Z59" s="94"/>
      <c r="AA59" s="94"/>
      <c r="AB59" s="94"/>
      <c r="AC59" s="94"/>
      <c r="AD59" s="94"/>
      <c r="AE59" s="94"/>
      <c r="AF59" s="94"/>
      <c r="AG59" s="94"/>
      <c r="AH59" s="94"/>
      <c r="AI59" s="94"/>
      <c r="AJ59" s="14"/>
    </row>
    <row r="60" spans="3:36" x14ac:dyDescent="0.2">
      <c r="C60" s="72">
        <v>0.9</v>
      </c>
      <c r="D60" s="72">
        <v>0</v>
      </c>
      <c r="E60" s="72">
        <v>0</v>
      </c>
      <c r="F60" s="72">
        <v>0.05</v>
      </c>
      <c r="G60" s="72">
        <v>0.05</v>
      </c>
      <c r="H60" s="87"/>
      <c r="I60" s="87"/>
      <c r="N60" s="7"/>
      <c r="O60" s="94"/>
      <c r="P60" s="94"/>
      <c r="Q60" s="94"/>
      <c r="R60" s="94"/>
      <c r="S60" s="94"/>
      <c r="T60" s="94"/>
      <c r="U60" s="94"/>
      <c r="V60" s="94"/>
      <c r="W60" s="94"/>
      <c r="X60" s="94"/>
      <c r="Y60" s="94"/>
      <c r="Z60" s="94"/>
      <c r="AA60" s="94"/>
      <c r="AB60" s="94"/>
      <c r="AC60" s="94"/>
      <c r="AD60" s="94"/>
      <c r="AE60" s="94"/>
      <c r="AF60" s="94"/>
      <c r="AG60" s="94"/>
      <c r="AH60" s="94"/>
      <c r="AI60" s="94"/>
      <c r="AJ60" s="14"/>
    </row>
    <row r="61" spans="3:36" x14ac:dyDescent="0.2">
      <c r="C61" s="72">
        <v>0.9</v>
      </c>
      <c r="D61" s="72">
        <v>0</v>
      </c>
      <c r="E61" s="72">
        <v>0</v>
      </c>
      <c r="F61" s="72">
        <v>0</v>
      </c>
      <c r="G61" s="72">
        <v>0.1</v>
      </c>
      <c r="H61" s="87"/>
      <c r="I61" s="87"/>
      <c r="N61" s="7"/>
      <c r="O61" s="94"/>
      <c r="P61" s="94"/>
      <c r="Q61" s="94"/>
      <c r="R61" s="94"/>
      <c r="S61" s="94"/>
      <c r="T61" s="94"/>
      <c r="U61" s="94"/>
      <c r="V61" s="94"/>
      <c r="W61" s="94"/>
      <c r="X61" s="94"/>
      <c r="Y61" s="94"/>
      <c r="Z61" s="94"/>
      <c r="AA61" s="94"/>
      <c r="AB61" s="94"/>
      <c r="AC61" s="94"/>
      <c r="AD61" s="94"/>
      <c r="AE61" s="94"/>
      <c r="AF61" s="94"/>
      <c r="AG61" s="94"/>
      <c r="AH61" s="94"/>
      <c r="AI61" s="94"/>
      <c r="AJ61" s="14"/>
    </row>
    <row r="62" spans="3:36" x14ac:dyDescent="0.2">
      <c r="C62" s="72">
        <v>0.85</v>
      </c>
      <c r="D62" s="72">
        <v>0.15</v>
      </c>
      <c r="E62" s="72">
        <v>0</v>
      </c>
      <c r="F62" s="72">
        <v>0</v>
      </c>
      <c r="G62" s="72">
        <v>0</v>
      </c>
      <c r="H62" s="87"/>
      <c r="I62" s="87"/>
      <c r="N62" s="7"/>
      <c r="O62" s="94"/>
      <c r="P62" s="94"/>
      <c r="Q62" s="94"/>
      <c r="R62" s="94"/>
      <c r="S62" s="94"/>
      <c r="T62" s="94"/>
      <c r="U62" s="94"/>
      <c r="V62" s="94"/>
      <c r="W62" s="94"/>
      <c r="X62" s="94"/>
      <c r="Y62" s="94"/>
      <c r="Z62" s="94"/>
      <c r="AA62" s="94"/>
      <c r="AB62" s="94"/>
      <c r="AC62" s="94"/>
      <c r="AD62" s="94"/>
      <c r="AE62" s="94"/>
      <c r="AF62" s="94"/>
      <c r="AG62" s="94"/>
      <c r="AH62" s="94"/>
      <c r="AI62" s="94"/>
      <c r="AJ62" s="14"/>
    </row>
    <row r="63" spans="3:36" x14ac:dyDescent="0.2">
      <c r="C63" s="72">
        <v>0.85</v>
      </c>
      <c r="D63" s="72">
        <v>7.4999999999999997E-2</v>
      </c>
      <c r="E63" s="72">
        <v>7.4999999999999997E-2</v>
      </c>
      <c r="F63" s="72">
        <v>0</v>
      </c>
      <c r="G63" s="72">
        <v>0</v>
      </c>
      <c r="H63" s="87"/>
      <c r="I63" s="87"/>
      <c r="N63" s="7"/>
      <c r="O63" s="94"/>
      <c r="P63" s="94"/>
      <c r="Q63" s="94"/>
      <c r="R63" s="94"/>
      <c r="S63" s="94"/>
      <c r="T63" s="94"/>
      <c r="U63" s="94"/>
      <c r="V63" s="94"/>
      <c r="W63" s="94"/>
      <c r="X63" s="94"/>
      <c r="Y63" s="94"/>
      <c r="Z63" s="94"/>
      <c r="AA63" s="94"/>
      <c r="AB63" s="94"/>
      <c r="AC63" s="94"/>
      <c r="AD63" s="94"/>
      <c r="AE63" s="94"/>
      <c r="AF63" s="94"/>
      <c r="AG63" s="94"/>
      <c r="AH63" s="94"/>
      <c r="AI63" s="94"/>
      <c r="AJ63" s="14"/>
    </row>
    <row r="64" spans="3:36" x14ac:dyDescent="0.2">
      <c r="C64" s="72">
        <v>0.85</v>
      </c>
      <c r="D64" s="72">
        <v>7.4999999999999997E-2</v>
      </c>
      <c r="E64" s="72">
        <v>0</v>
      </c>
      <c r="F64" s="72">
        <v>7.4999999999999997E-2</v>
      </c>
      <c r="G64" s="72">
        <v>0</v>
      </c>
      <c r="H64" s="87"/>
      <c r="I64" s="87"/>
      <c r="N64" s="7"/>
      <c r="O64" s="94"/>
      <c r="P64" s="94"/>
      <c r="Q64" s="94"/>
      <c r="R64" s="94"/>
      <c r="S64" s="94"/>
      <c r="T64" s="94"/>
      <c r="U64" s="94"/>
      <c r="V64" s="94"/>
      <c r="W64" s="94"/>
      <c r="X64" s="94"/>
      <c r="Y64" s="94"/>
      <c r="Z64" s="94"/>
      <c r="AA64" s="94"/>
      <c r="AB64" s="94"/>
      <c r="AC64" s="94"/>
      <c r="AD64" s="94"/>
      <c r="AE64" s="94"/>
      <c r="AF64" s="94"/>
      <c r="AG64" s="94"/>
      <c r="AH64" s="94"/>
      <c r="AI64" s="94"/>
      <c r="AJ64" s="14"/>
    </row>
    <row r="65" spans="3:36" x14ac:dyDescent="0.2">
      <c r="C65" s="72">
        <v>0.85</v>
      </c>
      <c r="D65" s="72">
        <v>7.4999999999999997E-2</v>
      </c>
      <c r="E65" s="72">
        <v>0</v>
      </c>
      <c r="F65" s="72">
        <v>0</v>
      </c>
      <c r="G65" s="72">
        <v>7.4999999999999997E-2</v>
      </c>
      <c r="H65" s="87"/>
      <c r="I65" s="87"/>
      <c r="N65" s="7"/>
      <c r="O65" s="94"/>
      <c r="P65" s="94"/>
      <c r="Q65" s="94"/>
      <c r="R65" s="94"/>
      <c r="S65" s="94"/>
      <c r="T65" s="94"/>
      <c r="U65" s="94"/>
      <c r="V65" s="94"/>
      <c r="W65" s="94"/>
      <c r="X65" s="94"/>
      <c r="Y65" s="94"/>
      <c r="Z65" s="94"/>
      <c r="AA65" s="94"/>
      <c r="AB65" s="94"/>
      <c r="AC65" s="94"/>
      <c r="AD65" s="94"/>
      <c r="AE65" s="94"/>
      <c r="AF65" s="94"/>
      <c r="AG65" s="94"/>
      <c r="AH65" s="94"/>
      <c r="AI65" s="94"/>
      <c r="AJ65" s="14"/>
    </row>
    <row r="66" spans="3:36" x14ac:dyDescent="0.2">
      <c r="C66" s="72">
        <v>0.85</v>
      </c>
      <c r="D66" s="72">
        <v>0.05</v>
      </c>
      <c r="E66" s="72">
        <v>0.05</v>
      </c>
      <c r="F66" s="72">
        <v>0.05</v>
      </c>
      <c r="G66" s="72">
        <v>0</v>
      </c>
      <c r="H66" s="87"/>
      <c r="I66" s="87"/>
      <c r="N66" s="7"/>
      <c r="O66" s="94"/>
      <c r="P66" s="94"/>
      <c r="Q66" s="94"/>
      <c r="R66" s="94"/>
      <c r="S66" s="94"/>
      <c r="T66" s="94"/>
      <c r="U66" s="94"/>
      <c r="V66" s="94"/>
      <c r="W66" s="94"/>
      <c r="X66" s="94"/>
      <c r="Y66" s="94"/>
      <c r="Z66" s="94"/>
      <c r="AA66" s="94"/>
      <c r="AB66" s="94"/>
      <c r="AC66" s="94"/>
      <c r="AD66" s="94"/>
      <c r="AE66" s="94"/>
      <c r="AF66" s="94"/>
      <c r="AG66" s="94"/>
      <c r="AH66" s="94"/>
      <c r="AI66" s="94"/>
      <c r="AJ66" s="14"/>
    </row>
    <row r="67" spans="3:36" x14ac:dyDescent="0.2">
      <c r="C67" s="72">
        <v>0.85</v>
      </c>
      <c r="D67" s="72">
        <v>0.05</v>
      </c>
      <c r="E67" s="72">
        <v>0.05</v>
      </c>
      <c r="F67" s="72">
        <v>0</v>
      </c>
      <c r="G67" s="72">
        <v>0.05</v>
      </c>
      <c r="H67" s="87"/>
      <c r="I67" s="87"/>
      <c r="N67" s="7"/>
      <c r="O67" s="94"/>
      <c r="P67" s="94"/>
      <c r="Q67" s="94"/>
      <c r="R67" s="94"/>
      <c r="S67" s="94"/>
      <c r="T67" s="94"/>
      <c r="U67" s="94"/>
      <c r="V67" s="94"/>
      <c r="W67" s="94"/>
      <c r="X67" s="94"/>
      <c r="Y67" s="94"/>
      <c r="Z67" s="94"/>
      <c r="AA67" s="94"/>
      <c r="AB67" s="94"/>
      <c r="AC67" s="94"/>
      <c r="AD67" s="94"/>
      <c r="AE67" s="94"/>
      <c r="AF67" s="94"/>
      <c r="AG67" s="94"/>
      <c r="AH67" s="94"/>
      <c r="AI67" s="94"/>
      <c r="AJ67" s="14"/>
    </row>
    <row r="68" spans="3:36" x14ac:dyDescent="0.2">
      <c r="C68" s="72">
        <v>0.85</v>
      </c>
      <c r="D68" s="72">
        <v>0.05</v>
      </c>
      <c r="E68" s="72">
        <v>0</v>
      </c>
      <c r="F68" s="72">
        <v>0.05</v>
      </c>
      <c r="G68" s="72">
        <v>0.05</v>
      </c>
      <c r="H68" s="87"/>
      <c r="I68" s="87"/>
      <c r="N68" s="7"/>
      <c r="O68" s="94"/>
      <c r="P68" s="94"/>
      <c r="Q68" s="94"/>
      <c r="R68" s="94"/>
      <c r="S68" s="94"/>
      <c r="T68" s="94"/>
      <c r="U68" s="94"/>
      <c r="V68" s="94"/>
      <c r="W68" s="94"/>
      <c r="X68" s="94"/>
      <c r="Y68" s="94"/>
      <c r="Z68" s="94"/>
      <c r="AA68" s="94"/>
      <c r="AB68" s="94"/>
      <c r="AC68" s="94"/>
      <c r="AD68" s="94"/>
      <c r="AE68" s="94"/>
      <c r="AF68" s="94"/>
      <c r="AG68" s="94"/>
      <c r="AH68" s="94"/>
      <c r="AI68" s="94"/>
      <c r="AJ68" s="14"/>
    </row>
    <row r="69" spans="3:36" x14ac:dyDescent="0.2">
      <c r="C69" s="72">
        <v>0.85</v>
      </c>
      <c r="D69" s="72">
        <v>0</v>
      </c>
      <c r="E69" s="72">
        <v>0.15</v>
      </c>
      <c r="F69" s="72">
        <v>0</v>
      </c>
      <c r="G69" s="72">
        <v>0</v>
      </c>
      <c r="H69" s="87"/>
      <c r="I69" s="87"/>
      <c r="N69" s="7"/>
      <c r="O69" s="94"/>
      <c r="P69" s="94"/>
      <c r="Q69" s="94"/>
      <c r="R69" s="94"/>
      <c r="S69" s="94"/>
      <c r="T69" s="94"/>
      <c r="U69" s="94"/>
      <c r="V69" s="94"/>
      <c r="W69" s="94"/>
      <c r="X69" s="94"/>
      <c r="Y69" s="94"/>
      <c r="Z69" s="94"/>
      <c r="AA69" s="94"/>
      <c r="AB69" s="94"/>
      <c r="AC69" s="94"/>
      <c r="AD69" s="94"/>
      <c r="AE69" s="94"/>
      <c r="AF69" s="94"/>
      <c r="AG69" s="94"/>
      <c r="AH69" s="94"/>
      <c r="AI69" s="94"/>
      <c r="AJ69" s="14"/>
    </row>
    <row r="70" spans="3:36" x14ac:dyDescent="0.2">
      <c r="C70" s="72">
        <v>0.85</v>
      </c>
      <c r="D70" s="72">
        <v>0</v>
      </c>
      <c r="E70" s="72">
        <v>7.4999999999999997E-2</v>
      </c>
      <c r="F70" s="72">
        <v>7.4999999999999997E-2</v>
      </c>
      <c r="G70" s="72">
        <v>0</v>
      </c>
      <c r="H70" s="87"/>
      <c r="I70" s="87"/>
      <c r="R70" s="13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</row>
    <row r="71" spans="3:36" x14ac:dyDescent="0.2">
      <c r="C71" s="72">
        <v>0.85</v>
      </c>
      <c r="D71" s="72">
        <v>0</v>
      </c>
      <c r="E71" s="72">
        <v>7.4999999999999997E-2</v>
      </c>
      <c r="F71" s="72">
        <v>0</v>
      </c>
      <c r="G71" s="72">
        <v>7.4999999999999997E-2</v>
      </c>
      <c r="H71" s="87"/>
      <c r="I71" s="87"/>
      <c r="R71" s="13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</row>
    <row r="72" spans="3:36" x14ac:dyDescent="0.2">
      <c r="C72" s="72">
        <v>0.85</v>
      </c>
      <c r="D72" s="72">
        <v>0</v>
      </c>
      <c r="E72" s="72">
        <v>0.05</v>
      </c>
      <c r="F72" s="72">
        <v>0.05</v>
      </c>
      <c r="G72" s="72">
        <v>0.05</v>
      </c>
      <c r="H72" s="87"/>
      <c r="I72" s="87"/>
      <c r="R72" s="13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</row>
    <row r="73" spans="3:36" x14ac:dyDescent="0.2">
      <c r="C73" s="72">
        <v>0.85</v>
      </c>
      <c r="D73" s="72">
        <v>0</v>
      </c>
      <c r="E73" s="72">
        <v>0</v>
      </c>
      <c r="F73" s="72">
        <v>0.15</v>
      </c>
      <c r="G73" s="72">
        <v>0</v>
      </c>
      <c r="H73" s="87"/>
      <c r="I73" s="87"/>
      <c r="R73" s="13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</row>
    <row r="74" spans="3:36" x14ac:dyDescent="0.2">
      <c r="C74" s="72">
        <v>0.85</v>
      </c>
      <c r="D74" s="72">
        <v>0</v>
      </c>
      <c r="E74" s="72">
        <v>0</v>
      </c>
      <c r="F74" s="72">
        <v>7.4999999999999997E-2</v>
      </c>
      <c r="G74" s="72">
        <v>7.4999999999999997E-2</v>
      </c>
      <c r="H74" s="87"/>
      <c r="I74" s="87"/>
      <c r="R74" s="13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</row>
    <row r="75" spans="3:36" x14ac:dyDescent="0.2">
      <c r="C75" s="72">
        <v>0.85</v>
      </c>
      <c r="D75" s="72">
        <v>0</v>
      </c>
      <c r="E75" s="72">
        <v>0</v>
      </c>
      <c r="F75" s="72">
        <v>0</v>
      </c>
      <c r="G75" s="72">
        <v>0.15</v>
      </c>
      <c r="H75" s="87"/>
      <c r="I75" s="87"/>
      <c r="R75" s="13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</row>
    <row r="76" spans="3:36" x14ac:dyDescent="0.2">
      <c r="C76" s="72">
        <v>0.8</v>
      </c>
      <c r="D76" s="72">
        <v>0.2</v>
      </c>
      <c r="E76" s="72">
        <v>0</v>
      </c>
      <c r="F76" s="72">
        <v>0</v>
      </c>
      <c r="G76" s="72">
        <v>0</v>
      </c>
      <c r="H76" s="87"/>
      <c r="I76" s="87"/>
      <c r="R76" s="13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</row>
    <row r="77" spans="3:36" x14ac:dyDescent="0.2">
      <c r="C77" s="72">
        <v>0.8</v>
      </c>
      <c r="D77" s="72">
        <v>0.1</v>
      </c>
      <c r="E77" s="72">
        <v>0.1</v>
      </c>
      <c r="F77" s="72">
        <v>0</v>
      </c>
      <c r="G77" s="72">
        <v>0</v>
      </c>
      <c r="H77" s="87"/>
      <c r="I77" s="87"/>
      <c r="R77" s="13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</row>
    <row r="78" spans="3:36" x14ac:dyDescent="0.2">
      <c r="C78" s="72">
        <v>0.8</v>
      </c>
      <c r="D78" s="72">
        <v>0.1</v>
      </c>
      <c r="E78" s="72">
        <v>0</v>
      </c>
      <c r="F78" s="72">
        <v>0.1</v>
      </c>
      <c r="G78" s="72">
        <v>0</v>
      </c>
      <c r="H78" s="87"/>
      <c r="I78" s="87"/>
      <c r="R78" s="13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</row>
    <row r="79" spans="3:36" x14ac:dyDescent="0.2">
      <c r="C79" s="72">
        <v>0.8</v>
      </c>
      <c r="D79" s="72">
        <v>0.1</v>
      </c>
      <c r="E79" s="72">
        <v>0</v>
      </c>
      <c r="F79" s="72">
        <v>0</v>
      </c>
      <c r="G79" s="72">
        <v>0.1</v>
      </c>
      <c r="H79" s="87"/>
      <c r="I79" s="87"/>
      <c r="R79" s="13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</row>
    <row r="80" spans="3:36" x14ac:dyDescent="0.2">
      <c r="C80" s="72">
        <v>0.8</v>
      </c>
      <c r="D80" s="72">
        <v>6.6667000000000004E-2</v>
      </c>
      <c r="E80" s="72">
        <v>6.6667000000000004E-2</v>
      </c>
      <c r="F80" s="72">
        <v>6.6667000000000004E-2</v>
      </c>
      <c r="G80" s="72">
        <v>0</v>
      </c>
      <c r="H80" s="87"/>
      <c r="I80" s="87"/>
      <c r="R80" s="13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</row>
    <row r="81" spans="3:36" x14ac:dyDescent="0.2">
      <c r="C81" s="72">
        <v>0.8</v>
      </c>
      <c r="D81" s="72">
        <v>6.6667000000000004E-2</v>
      </c>
      <c r="E81" s="72">
        <v>6.6667000000000004E-2</v>
      </c>
      <c r="F81" s="72">
        <v>0</v>
      </c>
      <c r="G81" s="72">
        <v>6.6667000000000004E-2</v>
      </c>
      <c r="H81" s="87"/>
      <c r="I81" s="87"/>
      <c r="R81" s="13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</row>
    <row r="82" spans="3:36" x14ac:dyDescent="0.2">
      <c r="C82" s="72">
        <v>0.8</v>
      </c>
      <c r="D82" s="72">
        <v>6.6667000000000004E-2</v>
      </c>
      <c r="E82" s="72">
        <v>0</v>
      </c>
      <c r="F82" s="72">
        <v>6.6667000000000004E-2</v>
      </c>
      <c r="G82" s="72">
        <v>6.6667000000000004E-2</v>
      </c>
      <c r="H82" s="87"/>
      <c r="I82" s="87"/>
      <c r="R82" s="13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</row>
    <row r="83" spans="3:36" x14ac:dyDescent="0.2">
      <c r="C83" s="72">
        <v>0.8</v>
      </c>
      <c r="D83" s="72">
        <v>0</v>
      </c>
      <c r="E83" s="72">
        <v>0.2</v>
      </c>
      <c r="F83" s="72">
        <v>0</v>
      </c>
      <c r="G83" s="72">
        <v>0</v>
      </c>
      <c r="H83" s="87"/>
      <c r="I83" s="87"/>
      <c r="R83" s="13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</row>
    <row r="84" spans="3:36" x14ac:dyDescent="0.2">
      <c r="C84" s="72">
        <v>0.8</v>
      </c>
      <c r="D84" s="72">
        <v>0</v>
      </c>
      <c r="E84" s="72">
        <v>0.1</v>
      </c>
      <c r="F84" s="72">
        <v>0.1</v>
      </c>
      <c r="G84" s="72">
        <v>0</v>
      </c>
      <c r="H84" s="87"/>
      <c r="I84" s="87"/>
      <c r="R84" s="13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</row>
    <row r="85" spans="3:36" x14ac:dyDescent="0.2">
      <c r="C85" s="72">
        <v>0.8</v>
      </c>
      <c r="D85" s="72">
        <v>0</v>
      </c>
      <c r="E85" s="72">
        <v>0.1</v>
      </c>
      <c r="F85" s="72">
        <v>0</v>
      </c>
      <c r="G85" s="72">
        <v>0.1</v>
      </c>
      <c r="H85" s="87"/>
      <c r="I85" s="87"/>
      <c r="R85" s="13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</row>
    <row r="86" spans="3:36" x14ac:dyDescent="0.2">
      <c r="C86" s="72">
        <v>0.8</v>
      </c>
      <c r="D86" s="72">
        <v>0</v>
      </c>
      <c r="E86" s="72">
        <v>6.6667000000000004E-2</v>
      </c>
      <c r="F86" s="72">
        <v>6.6667000000000004E-2</v>
      </c>
      <c r="G86" s="72">
        <v>6.6667000000000004E-2</v>
      </c>
      <c r="H86" s="87"/>
      <c r="I86" s="87"/>
      <c r="R86" s="13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</row>
    <row r="87" spans="3:36" x14ac:dyDescent="0.2">
      <c r="C87" s="72">
        <v>0.8</v>
      </c>
      <c r="D87" s="72">
        <v>0</v>
      </c>
      <c r="E87" s="72">
        <v>0</v>
      </c>
      <c r="F87" s="72">
        <v>0.2</v>
      </c>
      <c r="G87" s="72">
        <v>0</v>
      </c>
      <c r="H87" s="87"/>
      <c r="I87" s="87"/>
      <c r="R87" s="13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</row>
    <row r="88" spans="3:36" x14ac:dyDescent="0.2">
      <c r="C88" s="72">
        <v>0.8</v>
      </c>
      <c r="D88" s="72">
        <v>0</v>
      </c>
      <c r="E88" s="72">
        <v>0</v>
      </c>
      <c r="F88" s="72">
        <v>0.1</v>
      </c>
      <c r="G88" s="72">
        <v>0.1</v>
      </c>
      <c r="H88" s="87"/>
      <c r="I88" s="87"/>
      <c r="R88" s="13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</row>
    <row r="89" spans="3:36" x14ac:dyDescent="0.2">
      <c r="C89" s="72">
        <v>0.8</v>
      </c>
      <c r="D89" s="72">
        <v>0</v>
      </c>
      <c r="E89" s="72">
        <v>0</v>
      </c>
      <c r="F89" s="72">
        <v>0</v>
      </c>
      <c r="G89" s="72">
        <v>0.2</v>
      </c>
      <c r="H89" s="87"/>
      <c r="I89" s="87"/>
      <c r="R89" s="13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</row>
    <row r="90" spans="3:36" x14ac:dyDescent="0.2">
      <c r="C90" s="72">
        <v>0.75</v>
      </c>
      <c r="D90" s="72">
        <v>0.25</v>
      </c>
      <c r="E90" s="72">
        <v>0</v>
      </c>
      <c r="F90" s="72">
        <v>0</v>
      </c>
      <c r="G90" s="72">
        <v>0</v>
      </c>
      <c r="H90" s="87"/>
      <c r="I90" s="87"/>
      <c r="R90" s="13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</row>
    <row r="91" spans="3:36" x14ac:dyDescent="0.2">
      <c r="C91" s="72">
        <v>0.75</v>
      </c>
      <c r="D91" s="72">
        <v>0.125</v>
      </c>
      <c r="E91" s="72">
        <v>0.125</v>
      </c>
      <c r="F91" s="72">
        <v>0</v>
      </c>
      <c r="G91" s="72">
        <v>0</v>
      </c>
      <c r="H91" s="87"/>
      <c r="I91" s="87"/>
      <c r="R91" s="13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</row>
    <row r="92" spans="3:36" x14ac:dyDescent="0.2">
      <c r="C92" s="72">
        <v>0.75</v>
      </c>
      <c r="D92" s="72">
        <v>0.125</v>
      </c>
      <c r="E92" s="72">
        <v>0</v>
      </c>
      <c r="F92" s="72">
        <v>0.125</v>
      </c>
      <c r="G92" s="72">
        <v>0</v>
      </c>
      <c r="H92" s="87"/>
      <c r="I92" s="87"/>
      <c r="R92" s="13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</row>
    <row r="93" spans="3:36" x14ac:dyDescent="0.2">
      <c r="C93" s="72">
        <v>0.75</v>
      </c>
      <c r="D93" s="72">
        <v>0.125</v>
      </c>
      <c r="E93" s="72">
        <v>0</v>
      </c>
      <c r="F93" s="72">
        <v>0</v>
      </c>
      <c r="G93" s="72">
        <v>0.125</v>
      </c>
      <c r="H93" s="87"/>
      <c r="I93" s="87"/>
      <c r="R93" s="13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</row>
    <row r="94" spans="3:36" x14ac:dyDescent="0.2">
      <c r="C94" s="72">
        <v>0.75</v>
      </c>
      <c r="D94" s="72">
        <v>8.3333000000000004E-2</v>
      </c>
      <c r="E94" s="72">
        <v>8.3333000000000004E-2</v>
      </c>
      <c r="F94" s="72">
        <v>8.3333000000000004E-2</v>
      </c>
      <c r="G94" s="72">
        <v>0</v>
      </c>
      <c r="H94" s="87"/>
      <c r="I94" s="87"/>
      <c r="R94" s="13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</row>
    <row r="95" spans="3:36" x14ac:dyDescent="0.2">
      <c r="C95" s="72">
        <v>0.75</v>
      </c>
      <c r="D95" s="72">
        <v>8.3333000000000004E-2</v>
      </c>
      <c r="E95" s="72">
        <v>8.3333000000000004E-2</v>
      </c>
      <c r="F95" s="72">
        <v>0</v>
      </c>
      <c r="G95" s="72">
        <v>8.3333000000000004E-2</v>
      </c>
      <c r="H95" s="87"/>
      <c r="I95" s="87"/>
      <c r="R95" s="13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</row>
    <row r="96" spans="3:36" x14ac:dyDescent="0.2">
      <c r="C96" s="72">
        <v>0.75</v>
      </c>
      <c r="D96" s="72">
        <v>8.3333000000000004E-2</v>
      </c>
      <c r="E96" s="72">
        <v>0</v>
      </c>
      <c r="F96" s="72">
        <v>8.3333000000000004E-2</v>
      </c>
      <c r="G96" s="72">
        <v>8.3333000000000004E-2</v>
      </c>
      <c r="H96" s="87"/>
      <c r="I96" s="87"/>
      <c r="R96" s="13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</row>
    <row r="97" spans="3:36" x14ac:dyDescent="0.2">
      <c r="C97" s="72">
        <v>0.75</v>
      </c>
      <c r="D97" s="72">
        <v>0</v>
      </c>
      <c r="E97" s="72">
        <v>0.25</v>
      </c>
      <c r="F97" s="72">
        <v>0</v>
      </c>
      <c r="G97" s="72">
        <v>0</v>
      </c>
      <c r="H97" s="87"/>
      <c r="I97" s="87"/>
      <c r="R97" s="13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</row>
    <row r="98" spans="3:36" x14ac:dyDescent="0.2">
      <c r="C98" s="72">
        <v>0.75</v>
      </c>
      <c r="D98" s="72">
        <v>0</v>
      </c>
      <c r="E98" s="72">
        <v>0.125</v>
      </c>
      <c r="F98" s="72">
        <v>0.125</v>
      </c>
      <c r="G98" s="72">
        <v>0</v>
      </c>
      <c r="H98" s="87"/>
      <c r="I98" s="87"/>
      <c r="R98" s="13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</row>
    <row r="99" spans="3:36" x14ac:dyDescent="0.2">
      <c r="C99" s="72">
        <v>0.75</v>
      </c>
      <c r="D99" s="72">
        <v>0</v>
      </c>
      <c r="E99" s="72">
        <v>0.125</v>
      </c>
      <c r="F99" s="72">
        <v>0</v>
      </c>
      <c r="G99" s="72">
        <v>0.125</v>
      </c>
      <c r="H99" s="87"/>
      <c r="I99" s="87"/>
      <c r="R99" s="13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</row>
    <row r="100" spans="3:36" x14ac:dyDescent="0.2">
      <c r="C100" s="72">
        <v>0.75</v>
      </c>
      <c r="D100" s="72">
        <v>0</v>
      </c>
      <c r="E100" s="72">
        <v>8.3333000000000004E-2</v>
      </c>
      <c r="F100" s="72">
        <v>8.3333000000000004E-2</v>
      </c>
      <c r="G100" s="72">
        <v>8.3333000000000004E-2</v>
      </c>
      <c r="H100" s="87"/>
      <c r="I100" s="87"/>
      <c r="R100" s="13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</row>
    <row r="101" spans="3:36" x14ac:dyDescent="0.2">
      <c r="C101" s="72">
        <v>0.75</v>
      </c>
      <c r="D101" s="72">
        <v>0</v>
      </c>
      <c r="E101" s="72">
        <v>0</v>
      </c>
      <c r="F101" s="72">
        <v>0.25</v>
      </c>
      <c r="G101" s="72">
        <v>0</v>
      </c>
      <c r="H101" s="87"/>
      <c r="I101" s="87"/>
      <c r="R101" s="13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</row>
    <row r="102" spans="3:36" x14ac:dyDescent="0.2">
      <c r="C102" s="72">
        <v>0.75</v>
      </c>
      <c r="D102" s="72">
        <v>0</v>
      </c>
      <c r="E102" s="72">
        <v>0</v>
      </c>
      <c r="F102" s="72">
        <v>0.125</v>
      </c>
      <c r="G102" s="72">
        <v>0.125</v>
      </c>
      <c r="H102" s="87"/>
      <c r="I102" s="87"/>
      <c r="R102" s="13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</row>
    <row r="103" spans="3:36" x14ac:dyDescent="0.2">
      <c r="C103" s="72">
        <v>0.75</v>
      </c>
      <c r="D103" s="72">
        <v>0</v>
      </c>
      <c r="E103" s="72">
        <v>0</v>
      </c>
      <c r="F103" s="72">
        <v>0</v>
      </c>
      <c r="G103" s="72">
        <v>0.25</v>
      </c>
      <c r="H103" s="87"/>
      <c r="I103" s="87"/>
      <c r="R103" s="13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</row>
    <row r="104" spans="3:36" x14ac:dyDescent="0.2">
      <c r="C104" s="72">
        <v>0.7</v>
      </c>
      <c r="D104" s="72">
        <v>0.3</v>
      </c>
      <c r="E104" s="72">
        <v>0</v>
      </c>
      <c r="F104" s="72">
        <v>0</v>
      </c>
      <c r="G104" s="72">
        <v>0</v>
      </c>
      <c r="H104" s="87"/>
      <c r="I104" s="87"/>
      <c r="R104" s="13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</row>
    <row r="105" spans="3:36" x14ac:dyDescent="0.2">
      <c r="C105" s="72">
        <v>0.7</v>
      </c>
      <c r="D105" s="72">
        <v>0.15</v>
      </c>
      <c r="E105" s="72">
        <v>0.15</v>
      </c>
      <c r="F105" s="72">
        <v>0</v>
      </c>
      <c r="G105" s="72">
        <v>0</v>
      </c>
      <c r="H105" s="87"/>
      <c r="I105" s="87"/>
      <c r="R105" s="13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</row>
    <row r="106" spans="3:36" x14ac:dyDescent="0.2">
      <c r="C106" s="72">
        <v>0.7</v>
      </c>
      <c r="D106" s="72">
        <v>0.15</v>
      </c>
      <c r="E106" s="72">
        <v>0</v>
      </c>
      <c r="F106" s="72">
        <v>0.15</v>
      </c>
      <c r="G106" s="72">
        <v>0</v>
      </c>
      <c r="H106" s="87"/>
      <c r="I106" s="87"/>
      <c r="R106" s="13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</row>
    <row r="107" spans="3:36" x14ac:dyDescent="0.2">
      <c r="C107" s="72">
        <v>0.7</v>
      </c>
      <c r="D107" s="72">
        <v>0.15</v>
      </c>
      <c r="E107" s="72">
        <v>0</v>
      </c>
      <c r="F107" s="72">
        <v>0</v>
      </c>
      <c r="G107" s="72">
        <v>0.15</v>
      </c>
      <c r="H107" s="87"/>
      <c r="I107" s="87"/>
      <c r="R107" s="13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</row>
    <row r="108" spans="3:36" x14ac:dyDescent="0.2">
      <c r="C108" s="72">
        <v>0.7</v>
      </c>
      <c r="D108" s="72">
        <v>0.1</v>
      </c>
      <c r="E108" s="72">
        <v>0.1</v>
      </c>
      <c r="F108" s="72">
        <v>0.1</v>
      </c>
      <c r="G108" s="72">
        <v>0</v>
      </c>
      <c r="H108" s="87"/>
      <c r="I108" s="87"/>
      <c r="R108" s="13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</row>
    <row r="109" spans="3:36" x14ac:dyDescent="0.2">
      <c r="C109" s="72">
        <v>0.7</v>
      </c>
      <c r="D109" s="72">
        <v>0.1</v>
      </c>
      <c r="E109" s="72">
        <v>0.1</v>
      </c>
      <c r="F109" s="72">
        <v>0</v>
      </c>
      <c r="G109" s="72">
        <v>0.1</v>
      </c>
      <c r="H109" s="87"/>
      <c r="I109" s="87"/>
      <c r="R109" s="13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</row>
    <row r="110" spans="3:36" x14ac:dyDescent="0.2">
      <c r="C110" s="72">
        <v>0.7</v>
      </c>
      <c r="D110" s="72">
        <v>0.1</v>
      </c>
      <c r="E110" s="72">
        <v>0</v>
      </c>
      <c r="F110" s="72">
        <v>0.1</v>
      </c>
      <c r="G110" s="72">
        <v>0.1</v>
      </c>
      <c r="H110" s="87"/>
      <c r="I110" s="87"/>
      <c r="R110" s="13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</row>
    <row r="111" spans="3:36" x14ac:dyDescent="0.2">
      <c r="C111" s="72">
        <v>0.7</v>
      </c>
      <c r="D111" s="72">
        <v>0</v>
      </c>
      <c r="E111" s="72">
        <v>0.3</v>
      </c>
      <c r="F111" s="72">
        <v>0</v>
      </c>
      <c r="G111" s="72">
        <v>0</v>
      </c>
      <c r="H111" s="87"/>
      <c r="I111" s="87"/>
      <c r="R111" s="13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</row>
    <row r="112" spans="3:36" x14ac:dyDescent="0.2">
      <c r="C112" s="72">
        <v>0.7</v>
      </c>
      <c r="D112" s="72">
        <v>0</v>
      </c>
      <c r="E112" s="72">
        <v>0.15</v>
      </c>
      <c r="F112" s="72">
        <v>0.15</v>
      </c>
      <c r="G112" s="72">
        <v>0</v>
      </c>
      <c r="H112" s="87"/>
      <c r="I112" s="87"/>
      <c r="R112" s="13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</row>
    <row r="113" spans="3:36" x14ac:dyDescent="0.2">
      <c r="C113" s="72">
        <v>0.7</v>
      </c>
      <c r="D113" s="72">
        <v>0</v>
      </c>
      <c r="E113" s="72">
        <v>0.15</v>
      </c>
      <c r="F113" s="72">
        <v>0</v>
      </c>
      <c r="G113" s="72">
        <v>0.15</v>
      </c>
      <c r="H113" s="87"/>
      <c r="I113" s="87"/>
      <c r="R113" s="13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</row>
    <row r="114" spans="3:36" x14ac:dyDescent="0.2">
      <c r="C114" s="72">
        <v>0.7</v>
      </c>
      <c r="D114" s="72">
        <v>0</v>
      </c>
      <c r="E114" s="72">
        <v>0.1</v>
      </c>
      <c r="F114" s="72">
        <v>0.1</v>
      </c>
      <c r="G114" s="72">
        <v>0.1</v>
      </c>
      <c r="H114" s="87"/>
      <c r="I114" s="87"/>
      <c r="R114" s="13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</row>
    <row r="115" spans="3:36" x14ac:dyDescent="0.2">
      <c r="C115" s="72">
        <v>0.7</v>
      </c>
      <c r="D115" s="72">
        <v>0</v>
      </c>
      <c r="E115" s="72">
        <v>0</v>
      </c>
      <c r="F115" s="72">
        <v>0.3</v>
      </c>
      <c r="G115" s="72">
        <v>0</v>
      </c>
      <c r="H115" s="87"/>
      <c r="I115" s="87"/>
      <c r="R115" s="13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</row>
    <row r="116" spans="3:36" x14ac:dyDescent="0.2">
      <c r="C116" s="72">
        <v>0.7</v>
      </c>
      <c r="D116" s="72">
        <v>0</v>
      </c>
      <c r="E116" s="72">
        <v>0</v>
      </c>
      <c r="F116" s="72">
        <v>0.15</v>
      </c>
      <c r="G116" s="72">
        <v>0.15</v>
      </c>
      <c r="H116" s="87"/>
      <c r="I116" s="87"/>
      <c r="R116" s="13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</row>
    <row r="117" spans="3:36" x14ac:dyDescent="0.2">
      <c r="C117" s="72">
        <v>0.7</v>
      </c>
      <c r="D117" s="72">
        <v>0</v>
      </c>
      <c r="E117" s="72">
        <v>0</v>
      </c>
      <c r="F117" s="72">
        <v>0</v>
      </c>
      <c r="G117" s="72">
        <v>0.3</v>
      </c>
      <c r="H117" s="87"/>
      <c r="I117" s="87"/>
      <c r="R117" s="13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</row>
    <row r="118" spans="3:36" x14ac:dyDescent="0.2">
      <c r="C118" s="72">
        <v>0.65</v>
      </c>
      <c r="D118" s="72">
        <v>0.35</v>
      </c>
      <c r="E118" s="72">
        <v>0</v>
      </c>
      <c r="F118" s="72">
        <v>0</v>
      </c>
      <c r="G118" s="72">
        <v>0</v>
      </c>
      <c r="H118" s="87"/>
      <c r="I118" s="87"/>
      <c r="R118" s="13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</row>
    <row r="119" spans="3:36" x14ac:dyDescent="0.2">
      <c r="C119" s="72">
        <v>0.65</v>
      </c>
      <c r="D119" s="72">
        <v>0.17499999999999999</v>
      </c>
      <c r="E119" s="72">
        <v>0.17499999999999999</v>
      </c>
      <c r="F119" s="72">
        <v>0</v>
      </c>
      <c r="G119" s="72">
        <v>0</v>
      </c>
      <c r="H119" s="87"/>
      <c r="I119" s="87"/>
      <c r="R119" s="13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</row>
    <row r="120" spans="3:36" x14ac:dyDescent="0.2">
      <c r="C120" s="72">
        <v>0.65</v>
      </c>
      <c r="D120" s="72">
        <v>0.17499999999999999</v>
      </c>
      <c r="E120" s="72">
        <v>0</v>
      </c>
      <c r="F120" s="72">
        <v>0.17499999999999999</v>
      </c>
      <c r="G120" s="72">
        <v>0</v>
      </c>
      <c r="H120" s="87"/>
      <c r="I120" s="87"/>
      <c r="R120" s="13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  <c r="AF120" s="14"/>
      <c r="AG120" s="14"/>
      <c r="AH120" s="14"/>
      <c r="AI120" s="14"/>
      <c r="AJ120" s="14"/>
    </row>
    <row r="121" spans="3:36" x14ac:dyDescent="0.2">
      <c r="C121" s="72">
        <v>0.65</v>
      </c>
      <c r="D121" s="72">
        <v>0.17499999999999999</v>
      </c>
      <c r="E121" s="72">
        <v>0</v>
      </c>
      <c r="F121" s="72">
        <v>0</v>
      </c>
      <c r="G121" s="72">
        <v>0.17499999999999999</v>
      </c>
      <c r="H121" s="87"/>
      <c r="I121" s="87"/>
      <c r="R121" s="13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  <c r="AF121" s="14"/>
      <c r="AG121" s="14"/>
      <c r="AH121" s="14"/>
      <c r="AI121" s="14"/>
      <c r="AJ121" s="14"/>
    </row>
    <row r="122" spans="3:36" x14ac:dyDescent="0.2">
      <c r="C122" s="72">
        <v>0.65</v>
      </c>
      <c r="D122" s="72">
        <v>0.11666700000000001</v>
      </c>
      <c r="E122" s="72">
        <v>0.11666700000000001</v>
      </c>
      <c r="F122" s="72">
        <v>0.11666700000000001</v>
      </c>
      <c r="G122" s="72">
        <v>0</v>
      </c>
      <c r="H122" s="87"/>
      <c r="I122" s="87"/>
      <c r="R122" s="13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  <c r="AF122" s="14"/>
      <c r="AG122" s="14"/>
      <c r="AH122" s="14"/>
      <c r="AI122" s="14"/>
      <c r="AJ122" s="14"/>
    </row>
    <row r="123" spans="3:36" x14ac:dyDescent="0.2">
      <c r="C123" s="72">
        <v>0.65</v>
      </c>
      <c r="D123" s="72">
        <v>0.11666700000000001</v>
      </c>
      <c r="E123" s="72">
        <v>0.11666700000000001</v>
      </c>
      <c r="F123" s="72">
        <v>0</v>
      </c>
      <c r="G123" s="72">
        <v>0.11666700000000001</v>
      </c>
      <c r="H123" s="87"/>
      <c r="I123" s="87"/>
      <c r="R123" s="13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  <c r="AF123" s="14"/>
      <c r="AG123" s="14"/>
      <c r="AH123" s="14"/>
      <c r="AI123" s="14"/>
      <c r="AJ123" s="14"/>
    </row>
    <row r="124" spans="3:36" x14ac:dyDescent="0.2">
      <c r="C124" s="72">
        <v>0.65</v>
      </c>
      <c r="D124" s="72">
        <v>0.11666700000000001</v>
      </c>
      <c r="E124" s="72">
        <v>0</v>
      </c>
      <c r="F124" s="72">
        <v>0.11666700000000001</v>
      </c>
      <c r="G124" s="72">
        <v>0.11666700000000001</v>
      </c>
      <c r="H124" s="87"/>
      <c r="I124" s="87"/>
      <c r="R124" s="13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  <c r="AF124" s="14"/>
      <c r="AG124" s="14"/>
      <c r="AH124" s="14"/>
      <c r="AI124" s="14"/>
      <c r="AJ124" s="14"/>
    </row>
    <row r="125" spans="3:36" x14ac:dyDescent="0.2">
      <c r="C125" s="72">
        <v>0.65</v>
      </c>
      <c r="D125" s="72">
        <v>0</v>
      </c>
      <c r="E125" s="72">
        <v>0.35</v>
      </c>
      <c r="F125" s="72">
        <v>0</v>
      </c>
      <c r="G125" s="72">
        <v>0</v>
      </c>
      <c r="H125" s="87"/>
      <c r="I125" s="87"/>
      <c r="R125" s="13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  <c r="AF125" s="14"/>
      <c r="AG125" s="14"/>
      <c r="AH125" s="14"/>
      <c r="AI125" s="14"/>
      <c r="AJ125" s="14"/>
    </row>
    <row r="126" spans="3:36" x14ac:dyDescent="0.2">
      <c r="C126" s="72">
        <v>0.65</v>
      </c>
      <c r="D126" s="72">
        <v>0</v>
      </c>
      <c r="E126" s="72">
        <v>0.17499999999999999</v>
      </c>
      <c r="F126" s="72">
        <v>0.17499999999999999</v>
      </c>
      <c r="G126" s="72">
        <v>0</v>
      </c>
      <c r="H126" s="87"/>
      <c r="I126" s="87"/>
      <c r="R126" s="13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  <c r="AF126" s="14"/>
      <c r="AG126" s="14"/>
      <c r="AH126" s="14"/>
      <c r="AI126" s="14"/>
      <c r="AJ126" s="14"/>
    </row>
    <row r="127" spans="3:36" x14ac:dyDescent="0.2">
      <c r="C127" s="72">
        <v>0.65</v>
      </c>
      <c r="D127" s="72">
        <v>0</v>
      </c>
      <c r="E127" s="72">
        <v>0.17499999999999999</v>
      </c>
      <c r="F127" s="72">
        <v>0</v>
      </c>
      <c r="G127" s="72">
        <v>0.17499999999999999</v>
      </c>
      <c r="H127" s="87"/>
      <c r="I127" s="87"/>
      <c r="R127" s="13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  <c r="AF127" s="14"/>
      <c r="AG127" s="14"/>
      <c r="AH127" s="14"/>
      <c r="AI127" s="14"/>
      <c r="AJ127" s="14"/>
    </row>
    <row r="128" spans="3:36" x14ac:dyDescent="0.2">
      <c r="C128" s="72">
        <v>0.65</v>
      </c>
      <c r="D128" s="72">
        <v>0</v>
      </c>
      <c r="E128" s="72">
        <v>0.11666700000000001</v>
      </c>
      <c r="F128" s="72">
        <v>0.11666700000000001</v>
      </c>
      <c r="G128" s="72">
        <v>0.11666700000000001</v>
      </c>
      <c r="H128" s="87"/>
      <c r="I128" s="87"/>
      <c r="R128" s="13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  <c r="AF128" s="14"/>
      <c r="AG128" s="14"/>
      <c r="AH128" s="14"/>
      <c r="AI128" s="14"/>
      <c r="AJ128" s="14"/>
    </row>
    <row r="129" spans="3:36" x14ac:dyDescent="0.2">
      <c r="C129" s="72">
        <v>0.65</v>
      </c>
      <c r="D129" s="72">
        <v>0</v>
      </c>
      <c r="E129" s="72">
        <v>0</v>
      </c>
      <c r="F129" s="72">
        <v>0.35</v>
      </c>
      <c r="G129" s="72">
        <v>0</v>
      </c>
      <c r="H129" s="87"/>
      <c r="I129" s="87"/>
      <c r="R129" s="13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  <c r="AF129" s="14"/>
      <c r="AG129" s="14"/>
      <c r="AH129" s="14"/>
      <c r="AI129" s="14"/>
      <c r="AJ129" s="14"/>
    </row>
    <row r="130" spans="3:36" x14ac:dyDescent="0.2">
      <c r="C130" s="72">
        <v>0.65</v>
      </c>
      <c r="D130" s="72">
        <v>0</v>
      </c>
      <c r="E130" s="72">
        <v>0</v>
      </c>
      <c r="F130" s="72">
        <v>0.17499999999999999</v>
      </c>
      <c r="G130" s="72">
        <v>0.17499999999999999</v>
      </c>
      <c r="H130" s="87"/>
      <c r="I130" s="87"/>
      <c r="R130" s="13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4"/>
    </row>
    <row r="131" spans="3:36" x14ac:dyDescent="0.2">
      <c r="C131" s="72">
        <v>0.65</v>
      </c>
      <c r="D131" s="72">
        <v>0</v>
      </c>
      <c r="E131" s="72">
        <v>0</v>
      </c>
      <c r="F131" s="72">
        <v>0</v>
      </c>
      <c r="G131" s="72">
        <v>0.35</v>
      </c>
      <c r="H131" s="87"/>
      <c r="I131" s="87"/>
      <c r="R131" s="13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  <c r="AF131" s="14"/>
      <c r="AG131" s="14"/>
      <c r="AH131" s="14"/>
      <c r="AI131" s="14"/>
      <c r="AJ131" s="14"/>
    </row>
    <row r="132" spans="3:36" x14ac:dyDescent="0.2">
      <c r="C132" s="72">
        <v>0.6</v>
      </c>
      <c r="D132" s="72">
        <v>0.4</v>
      </c>
      <c r="E132" s="72">
        <v>0</v>
      </c>
      <c r="F132" s="72">
        <v>0</v>
      </c>
      <c r="G132" s="72">
        <v>0</v>
      </c>
      <c r="H132" s="87"/>
      <c r="I132" s="87"/>
      <c r="R132" s="13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  <c r="AF132" s="14"/>
      <c r="AG132" s="14"/>
      <c r="AH132" s="14"/>
      <c r="AI132" s="14"/>
      <c r="AJ132" s="14"/>
    </row>
    <row r="133" spans="3:36" x14ac:dyDescent="0.2">
      <c r="C133" s="72">
        <v>0.6</v>
      </c>
      <c r="D133" s="72">
        <v>0.2</v>
      </c>
      <c r="E133" s="72">
        <v>0.2</v>
      </c>
      <c r="F133" s="72">
        <v>0</v>
      </c>
      <c r="G133" s="72">
        <v>0</v>
      </c>
      <c r="H133" s="87"/>
      <c r="I133" s="87"/>
      <c r="R133" s="13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  <c r="AF133" s="14"/>
      <c r="AG133" s="14"/>
      <c r="AH133" s="14"/>
      <c r="AI133" s="14"/>
      <c r="AJ133" s="14"/>
    </row>
    <row r="134" spans="3:36" x14ac:dyDescent="0.2">
      <c r="C134" s="72">
        <v>0.6</v>
      </c>
      <c r="D134" s="72">
        <v>0.2</v>
      </c>
      <c r="E134" s="72">
        <v>0</v>
      </c>
      <c r="F134" s="72">
        <v>0.2</v>
      </c>
      <c r="G134" s="72">
        <v>0</v>
      </c>
      <c r="H134" s="87"/>
      <c r="I134" s="87"/>
      <c r="R134" s="13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  <c r="AF134" s="14"/>
      <c r="AG134" s="14"/>
      <c r="AH134" s="14"/>
      <c r="AI134" s="14"/>
      <c r="AJ134" s="14"/>
    </row>
    <row r="135" spans="3:36" x14ac:dyDescent="0.2">
      <c r="C135" s="72">
        <v>0.6</v>
      </c>
      <c r="D135" s="72">
        <v>0.2</v>
      </c>
      <c r="E135" s="72">
        <v>0</v>
      </c>
      <c r="F135" s="72">
        <v>0</v>
      </c>
      <c r="G135" s="72">
        <v>0.2</v>
      </c>
      <c r="H135" s="87"/>
      <c r="I135" s="87"/>
      <c r="R135" s="13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4"/>
    </row>
    <row r="136" spans="3:36" x14ac:dyDescent="0.2">
      <c r="C136" s="72">
        <v>0.6</v>
      </c>
      <c r="D136" s="72">
        <v>0.13333300000000001</v>
      </c>
      <c r="E136" s="72">
        <v>0.13333300000000001</v>
      </c>
      <c r="F136" s="72">
        <v>0.13333300000000001</v>
      </c>
      <c r="G136" s="72">
        <v>0</v>
      </c>
      <c r="H136" s="87"/>
      <c r="I136" s="87"/>
      <c r="R136" s="13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  <c r="AF136" s="14"/>
      <c r="AG136" s="14"/>
      <c r="AH136" s="14"/>
      <c r="AI136" s="14"/>
      <c r="AJ136" s="14"/>
    </row>
    <row r="137" spans="3:36" x14ac:dyDescent="0.2">
      <c r="C137" s="72">
        <v>0.6</v>
      </c>
      <c r="D137" s="72">
        <v>0.13333300000000001</v>
      </c>
      <c r="E137" s="72">
        <v>0.13333300000000001</v>
      </c>
      <c r="F137" s="72">
        <v>0</v>
      </c>
      <c r="G137" s="72">
        <v>0.13333300000000001</v>
      </c>
      <c r="H137" s="87"/>
      <c r="I137" s="87"/>
      <c r="R137" s="13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  <c r="AF137" s="14"/>
      <c r="AG137" s="14"/>
      <c r="AH137" s="14"/>
      <c r="AI137" s="14"/>
      <c r="AJ137" s="14"/>
    </row>
    <row r="138" spans="3:36" x14ac:dyDescent="0.2">
      <c r="C138" s="72">
        <v>0.6</v>
      </c>
      <c r="D138" s="72">
        <v>0.13333300000000001</v>
      </c>
      <c r="E138" s="72">
        <v>0</v>
      </c>
      <c r="F138" s="72">
        <v>0.13333300000000001</v>
      </c>
      <c r="G138" s="72">
        <v>0.13333300000000001</v>
      </c>
      <c r="H138" s="87"/>
      <c r="I138" s="87"/>
      <c r="R138" s="13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  <c r="AF138" s="14"/>
      <c r="AG138" s="14"/>
      <c r="AH138" s="14"/>
      <c r="AI138" s="14"/>
      <c r="AJ138" s="14"/>
    </row>
    <row r="139" spans="3:36" x14ac:dyDescent="0.2">
      <c r="C139" s="72">
        <v>0.6</v>
      </c>
      <c r="D139" s="72">
        <v>0</v>
      </c>
      <c r="E139" s="72">
        <v>0.4</v>
      </c>
      <c r="F139" s="72">
        <v>0</v>
      </c>
      <c r="G139" s="72">
        <v>0</v>
      </c>
      <c r="H139" s="87"/>
      <c r="I139" s="87"/>
      <c r="R139" s="13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  <c r="AF139" s="14"/>
      <c r="AG139" s="14"/>
      <c r="AH139" s="14"/>
      <c r="AI139" s="14"/>
      <c r="AJ139" s="14"/>
    </row>
    <row r="140" spans="3:36" x14ac:dyDescent="0.2">
      <c r="C140" s="72">
        <v>0.6</v>
      </c>
      <c r="D140" s="72">
        <v>0</v>
      </c>
      <c r="E140" s="72">
        <v>0.2</v>
      </c>
      <c r="F140" s="72">
        <v>0.2</v>
      </c>
      <c r="G140" s="72">
        <v>0</v>
      </c>
      <c r="H140" s="87"/>
      <c r="I140" s="87"/>
      <c r="R140" s="13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  <c r="AF140" s="14"/>
      <c r="AG140" s="14"/>
      <c r="AH140" s="14"/>
      <c r="AI140" s="14"/>
      <c r="AJ140" s="14"/>
    </row>
    <row r="141" spans="3:36" x14ac:dyDescent="0.2">
      <c r="C141" s="72">
        <v>0.6</v>
      </c>
      <c r="D141" s="72">
        <v>0</v>
      </c>
      <c r="E141" s="72">
        <v>0.2</v>
      </c>
      <c r="F141" s="72">
        <v>0</v>
      </c>
      <c r="G141" s="72">
        <v>0.2</v>
      </c>
      <c r="H141" s="87"/>
      <c r="I141" s="87"/>
      <c r="R141" s="13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  <c r="AF141" s="14"/>
      <c r="AG141" s="14"/>
      <c r="AH141" s="14"/>
      <c r="AI141" s="14"/>
      <c r="AJ141" s="14"/>
    </row>
    <row r="142" spans="3:36" x14ac:dyDescent="0.2">
      <c r="C142" s="72">
        <v>0.6</v>
      </c>
      <c r="D142" s="72">
        <v>0</v>
      </c>
      <c r="E142" s="72">
        <v>0.13333300000000001</v>
      </c>
      <c r="F142" s="72">
        <v>0.13333300000000001</v>
      </c>
      <c r="G142" s="72">
        <v>0.13333300000000001</v>
      </c>
      <c r="H142" s="87"/>
      <c r="I142" s="87"/>
      <c r="R142" s="13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  <c r="AF142" s="14"/>
      <c r="AG142" s="14"/>
      <c r="AH142" s="14"/>
      <c r="AI142" s="14"/>
      <c r="AJ142" s="14"/>
    </row>
    <row r="143" spans="3:36" x14ac:dyDescent="0.2">
      <c r="C143" s="72">
        <v>0.6</v>
      </c>
      <c r="D143" s="72">
        <v>0</v>
      </c>
      <c r="E143" s="72">
        <v>0</v>
      </c>
      <c r="F143" s="72">
        <v>0.4</v>
      </c>
      <c r="G143" s="72">
        <v>0</v>
      </c>
      <c r="H143" s="87"/>
      <c r="I143" s="87"/>
      <c r="R143" s="13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  <c r="AF143" s="14"/>
      <c r="AG143" s="14"/>
      <c r="AH143" s="14"/>
      <c r="AI143" s="14"/>
      <c r="AJ143" s="14"/>
    </row>
    <row r="144" spans="3:36" x14ac:dyDescent="0.2">
      <c r="C144" s="72">
        <v>0.6</v>
      </c>
      <c r="D144" s="72">
        <v>0</v>
      </c>
      <c r="E144" s="72">
        <v>0</v>
      </c>
      <c r="F144" s="72">
        <v>0.2</v>
      </c>
      <c r="G144" s="72">
        <v>0.2</v>
      </c>
      <c r="H144" s="87"/>
      <c r="I144" s="87"/>
      <c r="R144" s="13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  <c r="AF144" s="14"/>
      <c r="AG144" s="14"/>
      <c r="AH144" s="14"/>
      <c r="AI144" s="14"/>
      <c r="AJ144" s="14"/>
    </row>
    <row r="145" spans="3:36" x14ac:dyDescent="0.2">
      <c r="C145" s="72">
        <v>0.6</v>
      </c>
      <c r="D145" s="72">
        <v>0</v>
      </c>
      <c r="E145" s="72">
        <v>0</v>
      </c>
      <c r="F145" s="72">
        <v>0</v>
      </c>
      <c r="G145" s="72">
        <v>0.4</v>
      </c>
      <c r="H145" s="87"/>
      <c r="I145" s="87"/>
      <c r="R145" s="13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  <c r="AF145" s="14"/>
      <c r="AG145" s="14"/>
      <c r="AH145" s="14"/>
      <c r="AI145" s="14"/>
      <c r="AJ145" s="14"/>
    </row>
    <row r="146" spans="3:36" x14ac:dyDescent="0.2">
      <c r="C146" s="72">
        <v>0.55000000000000004</v>
      </c>
      <c r="D146" s="72">
        <v>0.45</v>
      </c>
      <c r="E146" s="72">
        <v>0</v>
      </c>
      <c r="F146" s="72">
        <v>0</v>
      </c>
      <c r="G146" s="72">
        <v>0</v>
      </c>
      <c r="H146" s="87"/>
      <c r="I146" s="87"/>
      <c r="R146" s="13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  <c r="AF146" s="14"/>
      <c r="AG146" s="14"/>
      <c r="AH146" s="14"/>
      <c r="AI146" s="14"/>
      <c r="AJ146" s="14"/>
    </row>
    <row r="147" spans="3:36" x14ac:dyDescent="0.2">
      <c r="C147" s="72">
        <v>0.55000000000000004</v>
      </c>
      <c r="D147" s="72">
        <v>0.22500000000000001</v>
      </c>
      <c r="E147" s="72">
        <v>0.22500000000000001</v>
      </c>
      <c r="F147" s="72">
        <v>0</v>
      </c>
      <c r="G147" s="72">
        <v>0</v>
      </c>
      <c r="H147" s="87"/>
      <c r="I147" s="87"/>
      <c r="R147" s="13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  <c r="AF147" s="14"/>
      <c r="AG147" s="14"/>
      <c r="AH147" s="14"/>
      <c r="AI147" s="14"/>
      <c r="AJ147" s="14"/>
    </row>
    <row r="148" spans="3:36" x14ac:dyDescent="0.2">
      <c r="C148" s="72">
        <v>0.55000000000000004</v>
      </c>
      <c r="D148" s="72">
        <v>0.22500000000000001</v>
      </c>
      <c r="E148" s="72">
        <v>0</v>
      </c>
      <c r="F148" s="72">
        <v>0.22500000000000001</v>
      </c>
      <c r="G148" s="72">
        <v>0</v>
      </c>
      <c r="H148" s="87"/>
      <c r="I148" s="87"/>
      <c r="R148" s="13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  <c r="AF148" s="14"/>
      <c r="AG148" s="14"/>
      <c r="AH148" s="14"/>
      <c r="AI148" s="14"/>
      <c r="AJ148" s="14"/>
    </row>
    <row r="149" spans="3:36" x14ac:dyDescent="0.2">
      <c r="C149" s="72">
        <v>0.55000000000000004</v>
      </c>
      <c r="D149" s="72">
        <v>0.22500000000000001</v>
      </c>
      <c r="E149" s="72">
        <v>0</v>
      </c>
      <c r="F149" s="72">
        <v>0</v>
      </c>
      <c r="G149" s="72">
        <v>0.22500000000000001</v>
      </c>
      <c r="H149" s="87"/>
      <c r="I149" s="87"/>
      <c r="R149" s="13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  <c r="AF149" s="14"/>
      <c r="AG149" s="14"/>
      <c r="AH149" s="14"/>
      <c r="AI149" s="14"/>
      <c r="AJ149" s="14"/>
    </row>
    <row r="150" spans="3:36" x14ac:dyDescent="0.2">
      <c r="C150" s="72">
        <v>0.55000000000000004</v>
      </c>
      <c r="D150" s="72">
        <v>0.15</v>
      </c>
      <c r="E150" s="72">
        <v>0.15</v>
      </c>
      <c r="F150" s="72">
        <v>0.15</v>
      </c>
      <c r="G150" s="72">
        <v>0</v>
      </c>
      <c r="H150" s="87"/>
      <c r="I150" s="87"/>
      <c r="R150" s="13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  <c r="AF150" s="14"/>
      <c r="AG150" s="14"/>
      <c r="AH150" s="14"/>
      <c r="AI150" s="14"/>
      <c r="AJ150" s="14"/>
    </row>
    <row r="151" spans="3:36" x14ac:dyDescent="0.2">
      <c r="C151" s="72">
        <v>0.55000000000000004</v>
      </c>
      <c r="D151" s="72">
        <v>0.15</v>
      </c>
      <c r="E151" s="72">
        <v>0.15</v>
      </c>
      <c r="F151" s="72">
        <v>0</v>
      </c>
      <c r="G151" s="72">
        <v>0.15</v>
      </c>
      <c r="H151" s="87"/>
      <c r="I151" s="87"/>
      <c r="R151" s="13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  <c r="AF151" s="14"/>
      <c r="AG151" s="14"/>
      <c r="AH151" s="14"/>
      <c r="AI151" s="14"/>
      <c r="AJ151" s="14"/>
    </row>
    <row r="152" spans="3:36" x14ac:dyDescent="0.2">
      <c r="C152" s="72">
        <v>0.55000000000000004</v>
      </c>
      <c r="D152" s="72">
        <v>0.15</v>
      </c>
      <c r="E152" s="72">
        <v>0</v>
      </c>
      <c r="F152" s="72">
        <v>0.15</v>
      </c>
      <c r="G152" s="72">
        <v>0.15</v>
      </c>
      <c r="H152" s="87"/>
      <c r="I152" s="87"/>
      <c r="R152" s="13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  <c r="AF152" s="14"/>
      <c r="AG152" s="14"/>
      <c r="AH152" s="14"/>
      <c r="AI152" s="14"/>
      <c r="AJ152" s="14"/>
    </row>
    <row r="153" spans="3:36" x14ac:dyDescent="0.2">
      <c r="C153" s="72">
        <v>0.55000000000000004</v>
      </c>
      <c r="D153" s="72">
        <v>0</v>
      </c>
      <c r="E153" s="72">
        <v>0.45</v>
      </c>
      <c r="F153" s="72">
        <v>0</v>
      </c>
      <c r="G153" s="72">
        <v>0</v>
      </c>
      <c r="H153" s="87"/>
      <c r="I153" s="87"/>
      <c r="R153" s="13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  <c r="AF153" s="14"/>
      <c r="AG153" s="14"/>
      <c r="AH153" s="14"/>
      <c r="AI153" s="14"/>
      <c r="AJ153" s="14"/>
    </row>
    <row r="154" spans="3:36" x14ac:dyDescent="0.2">
      <c r="C154" s="72">
        <v>0.55000000000000004</v>
      </c>
      <c r="D154" s="72">
        <v>0</v>
      </c>
      <c r="E154" s="72">
        <v>0.22500000000000001</v>
      </c>
      <c r="F154" s="72">
        <v>0.22500000000000001</v>
      </c>
      <c r="G154" s="72">
        <v>0</v>
      </c>
      <c r="H154" s="87"/>
      <c r="I154" s="87"/>
      <c r="R154" s="13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  <c r="AF154" s="14"/>
      <c r="AG154" s="14"/>
      <c r="AH154" s="14"/>
      <c r="AI154" s="14"/>
      <c r="AJ154" s="14"/>
    </row>
    <row r="155" spans="3:36" x14ac:dyDescent="0.2">
      <c r="C155" s="72">
        <v>0.55000000000000004</v>
      </c>
      <c r="D155" s="72">
        <v>0</v>
      </c>
      <c r="E155" s="72">
        <v>0.22500000000000001</v>
      </c>
      <c r="F155" s="72">
        <v>0</v>
      </c>
      <c r="G155" s="72">
        <v>0.22500000000000001</v>
      </c>
      <c r="H155" s="87"/>
      <c r="I155" s="87"/>
      <c r="R155" s="13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  <c r="AF155" s="14"/>
      <c r="AG155" s="14"/>
      <c r="AH155" s="14"/>
      <c r="AI155" s="14"/>
      <c r="AJ155" s="14"/>
    </row>
    <row r="156" spans="3:36" x14ac:dyDescent="0.2">
      <c r="C156" s="72">
        <v>0.55000000000000004</v>
      </c>
      <c r="D156" s="72">
        <v>0</v>
      </c>
      <c r="E156" s="72">
        <v>0.15</v>
      </c>
      <c r="F156" s="72">
        <v>0.15</v>
      </c>
      <c r="G156" s="72">
        <v>0.15</v>
      </c>
      <c r="H156" s="87"/>
      <c r="I156" s="87"/>
      <c r="R156" s="13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  <c r="AF156" s="14"/>
      <c r="AG156" s="14"/>
      <c r="AH156" s="14"/>
      <c r="AI156" s="14"/>
      <c r="AJ156" s="14"/>
    </row>
    <row r="157" spans="3:36" x14ac:dyDescent="0.2">
      <c r="C157" s="72">
        <v>0.55000000000000004</v>
      </c>
      <c r="D157" s="72">
        <v>0</v>
      </c>
      <c r="E157" s="72">
        <v>0</v>
      </c>
      <c r="F157" s="72">
        <v>0.45</v>
      </c>
      <c r="G157" s="72">
        <v>0</v>
      </c>
      <c r="H157" s="87"/>
      <c r="I157" s="87"/>
      <c r="R157" s="13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  <c r="AF157" s="14"/>
      <c r="AG157" s="14"/>
      <c r="AH157" s="14"/>
      <c r="AI157" s="14"/>
      <c r="AJ157" s="14"/>
    </row>
    <row r="158" spans="3:36" x14ac:dyDescent="0.2">
      <c r="C158" s="72">
        <v>0.55000000000000004</v>
      </c>
      <c r="D158" s="72">
        <v>0</v>
      </c>
      <c r="E158" s="72">
        <v>0</v>
      </c>
      <c r="F158" s="72">
        <v>0.22500000000000001</v>
      </c>
      <c r="G158" s="72">
        <v>0.22500000000000001</v>
      </c>
      <c r="H158" s="87"/>
      <c r="I158" s="87"/>
      <c r="R158" s="13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  <c r="AF158" s="14"/>
      <c r="AG158" s="14"/>
      <c r="AH158" s="14"/>
      <c r="AI158" s="14"/>
      <c r="AJ158" s="14"/>
    </row>
    <row r="159" spans="3:36" x14ac:dyDescent="0.2">
      <c r="C159" s="72">
        <v>0.55000000000000004</v>
      </c>
      <c r="D159" s="72">
        <v>0</v>
      </c>
      <c r="E159" s="72">
        <v>0</v>
      </c>
      <c r="F159" s="72">
        <v>0</v>
      </c>
      <c r="G159" s="72">
        <v>0.45</v>
      </c>
      <c r="H159" s="87"/>
      <c r="I159" s="87"/>
      <c r="R159" s="13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  <c r="AF159" s="14"/>
      <c r="AG159" s="14"/>
      <c r="AH159" s="14"/>
      <c r="AI159" s="14"/>
      <c r="AJ159" s="14"/>
    </row>
    <row r="160" spans="3:36" x14ac:dyDescent="0.2">
      <c r="C160" s="72">
        <v>0.5</v>
      </c>
      <c r="D160" s="72">
        <v>0.5</v>
      </c>
      <c r="E160" s="72">
        <v>0</v>
      </c>
      <c r="F160" s="72">
        <v>0</v>
      </c>
      <c r="G160" s="72">
        <v>0</v>
      </c>
      <c r="H160" s="87"/>
      <c r="I160" s="87"/>
      <c r="R160" s="13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  <c r="AF160" s="14"/>
      <c r="AG160" s="14"/>
      <c r="AH160" s="14"/>
      <c r="AI160" s="14"/>
      <c r="AJ160" s="14"/>
    </row>
    <row r="161" spans="3:36" x14ac:dyDescent="0.2">
      <c r="C161" s="72">
        <v>0.5</v>
      </c>
      <c r="D161" s="72">
        <v>0.25</v>
      </c>
      <c r="E161" s="72">
        <v>0.25</v>
      </c>
      <c r="F161" s="72">
        <v>0</v>
      </c>
      <c r="G161" s="72">
        <v>0</v>
      </c>
      <c r="H161" s="87"/>
      <c r="I161" s="87"/>
      <c r="R161" s="13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  <c r="AF161" s="14"/>
      <c r="AG161" s="14"/>
      <c r="AH161" s="14"/>
      <c r="AI161" s="14"/>
      <c r="AJ161" s="14"/>
    </row>
    <row r="162" spans="3:36" x14ac:dyDescent="0.2">
      <c r="C162" s="72">
        <v>0.5</v>
      </c>
      <c r="D162" s="72">
        <v>0.25</v>
      </c>
      <c r="E162" s="72">
        <v>0</v>
      </c>
      <c r="F162" s="72">
        <v>0.25</v>
      </c>
      <c r="G162" s="72">
        <v>0</v>
      </c>
      <c r="H162" s="87"/>
      <c r="I162" s="87"/>
      <c r="R162" s="13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  <c r="AF162" s="14"/>
      <c r="AG162" s="14"/>
      <c r="AH162" s="14"/>
      <c r="AI162" s="14"/>
      <c r="AJ162" s="14"/>
    </row>
    <row r="163" spans="3:36" x14ac:dyDescent="0.2">
      <c r="C163" s="72">
        <v>0.5</v>
      </c>
      <c r="D163" s="72">
        <v>0.25</v>
      </c>
      <c r="E163" s="72">
        <v>0</v>
      </c>
      <c r="F163" s="72">
        <v>0</v>
      </c>
      <c r="G163" s="72">
        <v>0.25</v>
      </c>
      <c r="H163" s="87"/>
      <c r="I163" s="87"/>
      <c r="R163" s="13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  <c r="AF163" s="14"/>
      <c r="AG163" s="14"/>
      <c r="AH163" s="14"/>
      <c r="AI163" s="14"/>
      <c r="AJ163" s="14"/>
    </row>
    <row r="164" spans="3:36" x14ac:dyDescent="0.2">
      <c r="C164" s="72">
        <v>0.5</v>
      </c>
      <c r="D164" s="72">
        <v>0.16666700000000001</v>
      </c>
      <c r="E164" s="72">
        <v>0.16666700000000001</v>
      </c>
      <c r="F164" s="72">
        <v>0.16666700000000001</v>
      </c>
      <c r="G164" s="72">
        <v>0</v>
      </c>
      <c r="H164" s="87"/>
      <c r="I164" s="87"/>
      <c r="R164" s="13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  <c r="AF164" s="14"/>
      <c r="AG164" s="14"/>
      <c r="AH164" s="14"/>
      <c r="AI164" s="14"/>
      <c r="AJ164" s="14"/>
    </row>
    <row r="165" spans="3:36" x14ac:dyDescent="0.2">
      <c r="C165" s="72">
        <v>0.5</v>
      </c>
      <c r="D165" s="72">
        <v>0.16666700000000001</v>
      </c>
      <c r="E165" s="72">
        <v>0.16666700000000001</v>
      </c>
      <c r="F165" s="72">
        <v>0</v>
      </c>
      <c r="G165" s="72">
        <v>0.16666700000000001</v>
      </c>
      <c r="H165" s="87"/>
      <c r="I165" s="87"/>
      <c r="R165" s="13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  <c r="AF165" s="14"/>
      <c r="AG165" s="14"/>
      <c r="AH165" s="14"/>
      <c r="AI165" s="14"/>
      <c r="AJ165" s="14"/>
    </row>
    <row r="166" spans="3:36" x14ac:dyDescent="0.2">
      <c r="C166" s="72">
        <v>0.5</v>
      </c>
      <c r="D166" s="72">
        <v>0.16666700000000001</v>
      </c>
      <c r="E166" s="72">
        <v>0</v>
      </c>
      <c r="F166" s="72">
        <v>0.16666700000000001</v>
      </c>
      <c r="G166" s="72">
        <v>0.16666700000000001</v>
      </c>
      <c r="H166" s="87"/>
      <c r="I166" s="87"/>
      <c r="R166" s="13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  <c r="AF166" s="14"/>
      <c r="AG166" s="14"/>
      <c r="AH166" s="14"/>
      <c r="AI166" s="14"/>
      <c r="AJ166" s="14"/>
    </row>
    <row r="167" spans="3:36" x14ac:dyDescent="0.2">
      <c r="C167" s="72">
        <v>0.5</v>
      </c>
      <c r="D167" s="72">
        <v>0</v>
      </c>
      <c r="E167" s="72">
        <v>0.5</v>
      </c>
      <c r="F167" s="72">
        <v>0</v>
      </c>
      <c r="G167" s="72">
        <v>0</v>
      </c>
      <c r="H167" s="87"/>
      <c r="I167" s="87"/>
      <c r="R167" s="13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  <c r="AF167" s="14"/>
      <c r="AG167" s="14"/>
      <c r="AH167" s="14"/>
      <c r="AI167" s="14"/>
      <c r="AJ167" s="14"/>
    </row>
    <row r="168" spans="3:36" x14ac:dyDescent="0.2">
      <c r="C168" s="72">
        <v>0.5</v>
      </c>
      <c r="D168" s="72">
        <v>0</v>
      </c>
      <c r="E168" s="72">
        <v>0.25</v>
      </c>
      <c r="F168" s="72">
        <v>0.25</v>
      </c>
      <c r="G168" s="72">
        <v>0</v>
      </c>
      <c r="H168" s="87"/>
      <c r="I168" s="87"/>
      <c r="R168" s="13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  <c r="AF168" s="14"/>
      <c r="AG168" s="14"/>
      <c r="AH168" s="14"/>
      <c r="AI168" s="14"/>
      <c r="AJ168" s="14"/>
    </row>
    <row r="169" spans="3:36" x14ac:dyDescent="0.2">
      <c r="C169" s="72">
        <v>0.5</v>
      </c>
      <c r="D169" s="72">
        <v>0</v>
      </c>
      <c r="E169" s="72">
        <v>0.25</v>
      </c>
      <c r="F169" s="72">
        <v>0</v>
      </c>
      <c r="G169" s="72">
        <v>0.25</v>
      </c>
      <c r="H169" s="87"/>
      <c r="I169" s="87"/>
      <c r="R169" s="13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  <c r="AF169" s="14"/>
      <c r="AG169" s="14"/>
      <c r="AH169" s="14"/>
      <c r="AI169" s="14"/>
      <c r="AJ169" s="14"/>
    </row>
    <row r="170" spans="3:36" x14ac:dyDescent="0.2">
      <c r="C170" s="72">
        <v>0.5</v>
      </c>
      <c r="D170" s="72">
        <v>0</v>
      </c>
      <c r="E170" s="72">
        <v>0.16666700000000001</v>
      </c>
      <c r="F170" s="72">
        <v>0.16666700000000001</v>
      </c>
      <c r="G170" s="72">
        <v>0.16666700000000001</v>
      </c>
      <c r="H170" s="87"/>
      <c r="I170" s="87"/>
      <c r="R170" s="13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  <c r="AF170" s="14"/>
      <c r="AG170" s="14"/>
      <c r="AH170" s="14"/>
      <c r="AI170" s="14"/>
      <c r="AJ170" s="14"/>
    </row>
    <row r="171" spans="3:36" x14ac:dyDescent="0.2">
      <c r="C171" s="72">
        <v>0.5</v>
      </c>
      <c r="D171" s="72">
        <v>0</v>
      </c>
      <c r="E171" s="72">
        <v>0</v>
      </c>
      <c r="F171" s="72">
        <v>0.5</v>
      </c>
      <c r="G171" s="72">
        <v>0</v>
      </c>
      <c r="H171" s="87"/>
      <c r="I171" s="87"/>
      <c r="R171" s="13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  <c r="AF171" s="14"/>
      <c r="AG171" s="14"/>
      <c r="AH171" s="14"/>
      <c r="AI171" s="14"/>
      <c r="AJ171" s="14"/>
    </row>
    <row r="172" spans="3:36" x14ac:dyDescent="0.2">
      <c r="C172" s="72">
        <v>0.5</v>
      </c>
      <c r="D172" s="72">
        <v>0</v>
      </c>
      <c r="E172" s="72">
        <v>0</v>
      </c>
      <c r="F172" s="72">
        <v>0.25</v>
      </c>
      <c r="G172" s="72">
        <v>0.25</v>
      </c>
      <c r="H172" s="87"/>
      <c r="I172" s="87"/>
      <c r="R172" s="13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  <c r="AF172" s="14"/>
      <c r="AG172" s="14"/>
      <c r="AH172" s="14"/>
      <c r="AI172" s="14"/>
      <c r="AJ172" s="14"/>
    </row>
    <row r="173" spans="3:36" x14ac:dyDescent="0.2">
      <c r="C173" s="72">
        <v>0.5</v>
      </c>
      <c r="D173" s="72">
        <v>0</v>
      </c>
      <c r="E173" s="72">
        <v>0</v>
      </c>
      <c r="F173" s="72">
        <v>0</v>
      </c>
      <c r="G173" s="72">
        <v>0.5</v>
      </c>
      <c r="H173" s="87"/>
      <c r="I173" s="87"/>
      <c r="R173" s="13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  <c r="AF173" s="14"/>
      <c r="AG173" s="14"/>
      <c r="AH173" s="14"/>
      <c r="AI173" s="14"/>
      <c r="AJ173" s="14"/>
    </row>
    <row r="174" spans="3:36" x14ac:dyDescent="0.2">
      <c r="C174" s="72">
        <v>0.47499999999999998</v>
      </c>
      <c r="D174" s="72">
        <v>0.47499999999999998</v>
      </c>
      <c r="E174" s="72">
        <v>0.05</v>
      </c>
      <c r="F174" s="72">
        <v>0</v>
      </c>
      <c r="G174" s="72">
        <v>0</v>
      </c>
      <c r="H174" s="87"/>
      <c r="I174" s="87"/>
      <c r="R174" s="13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  <c r="AF174" s="14"/>
      <c r="AG174" s="14"/>
      <c r="AH174" s="14"/>
      <c r="AI174" s="14"/>
      <c r="AJ174" s="14"/>
    </row>
    <row r="175" spans="3:36" x14ac:dyDescent="0.2">
      <c r="C175" s="72">
        <v>0.47499999999999998</v>
      </c>
      <c r="D175" s="72">
        <v>0.47499999999999998</v>
      </c>
      <c r="E175" s="72">
        <v>0</v>
      </c>
      <c r="F175" s="72">
        <v>0.05</v>
      </c>
      <c r="G175" s="72">
        <v>0</v>
      </c>
      <c r="H175" s="87"/>
      <c r="I175" s="87"/>
      <c r="R175" s="13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  <c r="AF175" s="14"/>
      <c r="AG175" s="14"/>
      <c r="AH175" s="14"/>
      <c r="AI175" s="14"/>
      <c r="AJ175" s="14"/>
    </row>
    <row r="176" spans="3:36" x14ac:dyDescent="0.2">
      <c r="C176" s="72">
        <v>0.47499999999999998</v>
      </c>
      <c r="D176" s="72">
        <v>0.47499999999999998</v>
      </c>
      <c r="E176" s="72">
        <v>0</v>
      </c>
      <c r="F176" s="72">
        <v>0</v>
      </c>
      <c r="G176" s="72">
        <v>0.05</v>
      </c>
      <c r="H176" s="87"/>
      <c r="I176" s="87"/>
      <c r="R176" s="13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  <c r="AF176" s="14"/>
      <c r="AG176" s="14"/>
      <c r="AH176" s="14"/>
      <c r="AI176" s="14"/>
      <c r="AJ176" s="14"/>
    </row>
    <row r="177" spans="3:36" x14ac:dyDescent="0.2">
      <c r="C177" s="72">
        <v>0.47499999999999998</v>
      </c>
      <c r="D177" s="72">
        <v>0.05</v>
      </c>
      <c r="E177" s="72">
        <v>0.47499999999999998</v>
      </c>
      <c r="F177" s="72">
        <v>0</v>
      </c>
      <c r="G177" s="72">
        <v>0</v>
      </c>
      <c r="H177" s="87"/>
      <c r="I177" s="87"/>
      <c r="R177" s="13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  <c r="AF177" s="14"/>
      <c r="AG177" s="14"/>
      <c r="AH177" s="14"/>
      <c r="AI177" s="14"/>
      <c r="AJ177" s="14"/>
    </row>
    <row r="178" spans="3:36" x14ac:dyDescent="0.2">
      <c r="C178" s="72">
        <v>0.47499999999999998</v>
      </c>
      <c r="D178" s="72">
        <v>0.05</v>
      </c>
      <c r="E178" s="72">
        <v>0</v>
      </c>
      <c r="F178" s="72">
        <v>0.47499999999999998</v>
      </c>
      <c r="G178" s="72">
        <v>0</v>
      </c>
      <c r="H178" s="87"/>
      <c r="I178" s="87"/>
      <c r="R178" s="13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  <c r="AF178" s="14"/>
      <c r="AG178" s="14"/>
      <c r="AH178" s="14"/>
      <c r="AI178" s="14"/>
      <c r="AJ178" s="14"/>
    </row>
    <row r="179" spans="3:36" x14ac:dyDescent="0.2">
      <c r="C179" s="72">
        <v>0.47499999999999998</v>
      </c>
      <c r="D179" s="72">
        <v>0.05</v>
      </c>
      <c r="E179" s="72">
        <v>0</v>
      </c>
      <c r="F179" s="72">
        <v>0</v>
      </c>
      <c r="G179" s="72">
        <v>0.47499999999999998</v>
      </c>
      <c r="H179" s="87"/>
      <c r="I179" s="87"/>
      <c r="R179" s="13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  <c r="AF179" s="14"/>
      <c r="AG179" s="14"/>
      <c r="AH179" s="14"/>
      <c r="AI179" s="14"/>
      <c r="AJ179" s="14"/>
    </row>
    <row r="180" spans="3:36" x14ac:dyDescent="0.2">
      <c r="C180" s="72">
        <v>0.47499999999999998</v>
      </c>
      <c r="D180" s="72">
        <v>0</v>
      </c>
      <c r="E180" s="72">
        <v>0.47499999999999998</v>
      </c>
      <c r="F180" s="72">
        <v>0.05</v>
      </c>
      <c r="G180" s="72">
        <v>0</v>
      </c>
      <c r="H180" s="87"/>
      <c r="I180" s="87"/>
      <c r="R180" s="13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  <c r="AF180" s="14"/>
      <c r="AG180" s="14"/>
      <c r="AH180" s="14"/>
      <c r="AI180" s="14"/>
      <c r="AJ180" s="14"/>
    </row>
    <row r="181" spans="3:36" x14ac:dyDescent="0.2">
      <c r="C181" s="72">
        <v>0.47499999999999998</v>
      </c>
      <c r="D181" s="72">
        <v>0</v>
      </c>
      <c r="E181" s="72">
        <v>0.47499999999999998</v>
      </c>
      <c r="F181" s="72">
        <v>0</v>
      </c>
      <c r="G181" s="72">
        <v>0.05</v>
      </c>
      <c r="H181" s="87"/>
      <c r="I181" s="87"/>
      <c r="R181" s="13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  <c r="AF181" s="14"/>
      <c r="AG181" s="14"/>
      <c r="AH181" s="14"/>
      <c r="AI181" s="14"/>
      <c r="AJ181" s="14"/>
    </row>
    <row r="182" spans="3:36" x14ac:dyDescent="0.2">
      <c r="C182" s="72">
        <v>0.47499999999999998</v>
      </c>
      <c r="D182" s="72">
        <v>0</v>
      </c>
      <c r="E182" s="72">
        <v>0.05</v>
      </c>
      <c r="F182" s="72">
        <v>0.47499999999999998</v>
      </c>
      <c r="G182" s="72">
        <v>0</v>
      </c>
      <c r="H182" s="87"/>
      <c r="I182" s="87"/>
      <c r="R182" s="13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  <c r="AF182" s="14"/>
      <c r="AG182" s="14"/>
      <c r="AH182" s="14"/>
      <c r="AI182" s="14"/>
      <c r="AJ182" s="14"/>
    </row>
    <row r="183" spans="3:36" x14ac:dyDescent="0.2">
      <c r="C183" s="72">
        <v>0.47499999999999998</v>
      </c>
      <c r="D183" s="72">
        <v>0</v>
      </c>
      <c r="E183" s="72">
        <v>0.05</v>
      </c>
      <c r="F183" s="72">
        <v>0</v>
      </c>
      <c r="G183" s="72">
        <v>0.47499999999999998</v>
      </c>
      <c r="H183" s="87"/>
      <c r="I183" s="87"/>
      <c r="R183" s="13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  <c r="AF183" s="14"/>
      <c r="AG183" s="14"/>
      <c r="AH183" s="14"/>
      <c r="AI183" s="14"/>
      <c r="AJ183" s="14"/>
    </row>
    <row r="184" spans="3:36" x14ac:dyDescent="0.2">
      <c r="C184" s="72">
        <v>0.47499999999999998</v>
      </c>
      <c r="D184" s="72">
        <v>0</v>
      </c>
      <c r="E184" s="72">
        <v>0</v>
      </c>
      <c r="F184" s="72">
        <v>0.47499999999999998</v>
      </c>
      <c r="G184" s="72">
        <v>0.05</v>
      </c>
      <c r="H184" s="87"/>
      <c r="I184" s="87"/>
      <c r="R184" s="13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  <c r="AF184" s="14"/>
      <c r="AG184" s="14"/>
      <c r="AH184" s="14"/>
      <c r="AI184" s="14"/>
      <c r="AJ184" s="14"/>
    </row>
    <row r="185" spans="3:36" x14ac:dyDescent="0.2">
      <c r="C185" s="72">
        <v>0.47499999999999998</v>
      </c>
      <c r="D185" s="72">
        <v>0</v>
      </c>
      <c r="E185" s="72">
        <v>0</v>
      </c>
      <c r="F185" s="72">
        <v>0.05</v>
      </c>
      <c r="G185" s="72">
        <v>0.47499999999999998</v>
      </c>
      <c r="H185" s="87"/>
      <c r="I185" s="87"/>
      <c r="R185" s="13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  <c r="AF185" s="14"/>
      <c r="AG185" s="14"/>
      <c r="AH185" s="14"/>
      <c r="AI185" s="14"/>
      <c r="AJ185" s="14"/>
    </row>
    <row r="186" spans="3:36" x14ac:dyDescent="0.2">
      <c r="C186" s="72">
        <v>0.45</v>
      </c>
      <c r="D186" s="72">
        <v>0.55000000000000004</v>
      </c>
      <c r="E186" s="72">
        <v>0</v>
      </c>
      <c r="F186" s="72">
        <v>0</v>
      </c>
      <c r="G186" s="72">
        <v>0</v>
      </c>
      <c r="H186" s="87"/>
      <c r="I186" s="87"/>
      <c r="R186" s="13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  <c r="AF186" s="14"/>
      <c r="AG186" s="14"/>
      <c r="AH186" s="14"/>
      <c r="AI186" s="14"/>
      <c r="AJ186" s="14"/>
    </row>
    <row r="187" spans="3:36" x14ac:dyDescent="0.2">
      <c r="C187" s="72">
        <v>0.45</v>
      </c>
      <c r="D187" s="72">
        <v>0.45</v>
      </c>
      <c r="E187" s="72">
        <v>0.1</v>
      </c>
      <c r="F187" s="72">
        <v>0</v>
      </c>
      <c r="G187" s="72">
        <v>0</v>
      </c>
      <c r="H187" s="87"/>
      <c r="I187" s="87"/>
      <c r="R187" s="13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  <c r="AF187" s="14"/>
      <c r="AG187" s="14"/>
      <c r="AH187" s="14"/>
      <c r="AI187" s="14"/>
      <c r="AJ187" s="14"/>
    </row>
    <row r="188" spans="3:36" x14ac:dyDescent="0.2">
      <c r="C188" s="72">
        <v>0.45</v>
      </c>
      <c r="D188" s="72">
        <v>0.45</v>
      </c>
      <c r="E188" s="72">
        <v>0</v>
      </c>
      <c r="F188" s="72">
        <v>0.1</v>
      </c>
      <c r="G188" s="72">
        <v>0</v>
      </c>
      <c r="H188" s="87"/>
      <c r="I188" s="87"/>
      <c r="R188" s="13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  <c r="AF188" s="14"/>
      <c r="AG188" s="14"/>
      <c r="AH188" s="14"/>
      <c r="AI188" s="14"/>
      <c r="AJ188" s="14"/>
    </row>
    <row r="189" spans="3:36" x14ac:dyDescent="0.2">
      <c r="C189" s="72">
        <v>0.45</v>
      </c>
      <c r="D189" s="72">
        <v>0.45</v>
      </c>
      <c r="E189" s="72">
        <v>0</v>
      </c>
      <c r="F189" s="72">
        <v>0</v>
      </c>
      <c r="G189" s="72">
        <v>0.1</v>
      </c>
      <c r="H189" s="87"/>
      <c r="I189" s="87"/>
      <c r="R189" s="13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  <c r="AF189" s="14"/>
      <c r="AG189" s="14"/>
      <c r="AH189" s="14"/>
      <c r="AI189" s="14"/>
      <c r="AJ189" s="14"/>
    </row>
    <row r="190" spans="3:36" x14ac:dyDescent="0.2">
      <c r="C190" s="72">
        <v>0.45</v>
      </c>
      <c r="D190" s="72">
        <v>0.27500000000000002</v>
      </c>
      <c r="E190" s="72">
        <v>0.27500000000000002</v>
      </c>
      <c r="F190" s="72">
        <v>0</v>
      </c>
      <c r="G190" s="72">
        <v>0</v>
      </c>
      <c r="H190" s="87"/>
      <c r="I190" s="87"/>
      <c r="R190" s="13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  <c r="AF190" s="14"/>
      <c r="AG190" s="14"/>
      <c r="AH190" s="14"/>
      <c r="AI190" s="14"/>
      <c r="AJ190" s="14"/>
    </row>
    <row r="191" spans="3:36" x14ac:dyDescent="0.2">
      <c r="C191" s="72">
        <v>0.45</v>
      </c>
      <c r="D191" s="72">
        <v>0.27500000000000002</v>
      </c>
      <c r="E191" s="72">
        <v>0</v>
      </c>
      <c r="F191" s="72">
        <v>0.27500000000000002</v>
      </c>
      <c r="G191" s="72">
        <v>0</v>
      </c>
      <c r="H191" s="87"/>
      <c r="I191" s="87"/>
      <c r="R191" s="13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  <c r="AF191" s="14"/>
      <c r="AG191" s="14"/>
      <c r="AH191" s="14"/>
      <c r="AI191" s="14"/>
      <c r="AJ191" s="14"/>
    </row>
    <row r="192" spans="3:36" x14ac:dyDescent="0.2">
      <c r="C192" s="72">
        <v>0.45</v>
      </c>
      <c r="D192" s="72">
        <v>0.27500000000000002</v>
      </c>
      <c r="E192" s="72">
        <v>0</v>
      </c>
      <c r="F192" s="72">
        <v>0</v>
      </c>
      <c r="G192" s="72">
        <v>0.27500000000000002</v>
      </c>
      <c r="H192" s="87"/>
      <c r="I192" s="87"/>
      <c r="R192" s="13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  <c r="AF192" s="14"/>
      <c r="AG192" s="14"/>
      <c r="AH192" s="14"/>
      <c r="AI192" s="14"/>
      <c r="AJ192" s="14"/>
    </row>
    <row r="193" spans="3:36" x14ac:dyDescent="0.2">
      <c r="C193" s="72">
        <v>0.45</v>
      </c>
      <c r="D193" s="72">
        <v>0.183333</v>
      </c>
      <c r="E193" s="72">
        <v>0.183333</v>
      </c>
      <c r="F193" s="72">
        <v>0.183333</v>
      </c>
      <c r="G193" s="72">
        <v>0</v>
      </c>
      <c r="H193" s="87"/>
      <c r="I193" s="87"/>
      <c r="R193" s="13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  <c r="AF193" s="14"/>
      <c r="AG193" s="14"/>
      <c r="AH193" s="14"/>
      <c r="AI193" s="14"/>
      <c r="AJ193" s="14"/>
    </row>
    <row r="194" spans="3:36" x14ac:dyDescent="0.2">
      <c r="C194" s="72">
        <v>0.45</v>
      </c>
      <c r="D194" s="72">
        <v>0.183333</v>
      </c>
      <c r="E194" s="72">
        <v>0.183333</v>
      </c>
      <c r="F194" s="72">
        <v>0</v>
      </c>
      <c r="G194" s="72">
        <v>0.183333</v>
      </c>
      <c r="H194" s="87"/>
      <c r="I194" s="87"/>
      <c r="R194" s="13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  <c r="AF194" s="14"/>
      <c r="AG194" s="14"/>
      <c r="AH194" s="14"/>
      <c r="AI194" s="14"/>
      <c r="AJ194" s="14"/>
    </row>
    <row r="195" spans="3:36" x14ac:dyDescent="0.2">
      <c r="C195" s="72">
        <v>0.45</v>
      </c>
      <c r="D195" s="72">
        <v>0.183333</v>
      </c>
      <c r="E195" s="72">
        <v>0</v>
      </c>
      <c r="F195" s="72">
        <v>0.183333</v>
      </c>
      <c r="G195" s="72">
        <v>0.183333</v>
      </c>
      <c r="H195" s="87"/>
      <c r="I195" s="87"/>
      <c r="R195" s="13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  <c r="AF195" s="14"/>
      <c r="AG195" s="14"/>
      <c r="AH195" s="14"/>
      <c r="AI195" s="14"/>
      <c r="AJ195" s="14"/>
    </row>
    <row r="196" spans="3:36" x14ac:dyDescent="0.2">
      <c r="C196" s="72">
        <v>0.45</v>
      </c>
      <c r="D196" s="72">
        <v>0.1</v>
      </c>
      <c r="E196" s="72">
        <v>0.45</v>
      </c>
      <c r="F196" s="72">
        <v>0</v>
      </c>
      <c r="G196" s="72">
        <v>0</v>
      </c>
      <c r="H196" s="87"/>
      <c r="I196" s="87"/>
      <c r="R196" s="13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  <c r="AF196" s="14"/>
      <c r="AG196" s="14"/>
      <c r="AH196" s="14"/>
      <c r="AI196" s="14"/>
      <c r="AJ196" s="14"/>
    </row>
    <row r="197" spans="3:36" x14ac:dyDescent="0.2">
      <c r="C197" s="72">
        <v>0.45</v>
      </c>
      <c r="D197" s="72">
        <v>0.1</v>
      </c>
      <c r="E197" s="72">
        <v>0</v>
      </c>
      <c r="F197" s="72">
        <v>0.45</v>
      </c>
      <c r="G197" s="72">
        <v>0</v>
      </c>
      <c r="H197" s="87"/>
      <c r="I197" s="87"/>
      <c r="R197" s="13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  <c r="AF197" s="14"/>
      <c r="AG197" s="14"/>
      <c r="AH197" s="14"/>
      <c r="AI197" s="14"/>
      <c r="AJ197" s="14"/>
    </row>
    <row r="198" spans="3:36" x14ac:dyDescent="0.2">
      <c r="C198" s="72">
        <v>0.45</v>
      </c>
      <c r="D198" s="72">
        <v>0.1</v>
      </c>
      <c r="E198" s="72">
        <v>0</v>
      </c>
      <c r="F198" s="72">
        <v>0</v>
      </c>
      <c r="G198" s="72">
        <v>0.45</v>
      </c>
      <c r="H198" s="87"/>
      <c r="I198" s="87"/>
      <c r="R198" s="13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  <c r="AF198" s="14"/>
      <c r="AG198" s="14"/>
      <c r="AH198" s="14"/>
      <c r="AI198" s="14"/>
      <c r="AJ198" s="14"/>
    </row>
    <row r="199" spans="3:36" x14ac:dyDescent="0.2">
      <c r="C199" s="72">
        <v>0.45</v>
      </c>
      <c r="D199" s="72">
        <v>0</v>
      </c>
      <c r="E199" s="72">
        <v>0.55000000000000004</v>
      </c>
      <c r="F199" s="72">
        <v>0</v>
      </c>
      <c r="G199" s="72">
        <v>0</v>
      </c>
      <c r="H199" s="87"/>
      <c r="I199" s="87"/>
      <c r="R199" s="13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  <c r="AF199" s="14"/>
      <c r="AG199" s="14"/>
      <c r="AH199" s="14"/>
      <c r="AI199" s="14"/>
      <c r="AJ199" s="14"/>
    </row>
    <row r="200" spans="3:36" x14ac:dyDescent="0.2">
      <c r="C200" s="72">
        <v>0.45</v>
      </c>
      <c r="D200" s="72">
        <v>0</v>
      </c>
      <c r="E200" s="72">
        <v>0.45</v>
      </c>
      <c r="F200" s="72">
        <v>0.1</v>
      </c>
      <c r="G200" s="72">
        <v>0</v>
      </c>
      <c r="H200" s="87"/>
      <c r="I200" s="87"/>
      <c r="R200" s="13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  <c r="AF200" s="14"/>
      <c r="AG200" s="14"/>
      <c r="AH200" s="14"/>
      <c r="AI200" s="14"/>
      <c r="AJ200" s="14"/>
    </row>
    <row r="201" spans="3:36" x14ac:dyDescent="0.2">
      <c r="C201" s="72">
        <v>0.45</v>
      </c>
      <c r="D201" s="72">
        <v>0</v>
      </c>
      <c r="E201" s="72">
        <v>0.45</v>
      </c>
      <c r="F201" s="72">
        <v>0</v>
      </c>
      <c r="G201" s="72">
        <v>0.1</v>
      </c>
      <c r="H201" s="87"/>
      <c r="I201" s="87"/>
      <c r="R201" s="13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  <c r="AF201" s="14"/>
      <c r="AG201" s="14"/>
      <c r="AH201" s="14"/>
      <c r="AI201" s="14"/>
      <c r="AJ201" s="14"/>
    </row>
    <row r="202" spans="3:36" x14ac:dyDescent="0.2">
      <c r="C202" s="72">
        <v>0.45</v>
      </c>
      <c r="D202" s="72">
        <v>0</v>
      </c>
      <c r="E202" s="72">
        <v>0.27500000000000002</v>
      </c>
      <c r="F202" s="72">
        <v>0.27500000000000002</v>
      </c>
      <c r="G202" s="72">
        <v>0</v>
      </c>
      <c r="H202" s="87"/>
      <c r="I202" s="87"/>
      <c r="R202" s="13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  <c r="AF202" s="14"/>
      <c r="AG202" s="14"/>
      <c r="AH202" s="14"/>
      <c r="AI202" s="14"/>
      <c r="AJ202" s="14"/>
    </row>
    <row r="203" spans="3:36" x14ac:dyDescent="0.2">
      <c r="C203" s="72">
        <v>0.45</v>
      </c>
      <c r="D203" s="72">
        <v>0</v>
      </c>
      <c r="E203" s="72">
        <v>0.27500000000000002</v>
      </c>
      <c r="F203" s="72">
        <v>0</v>
      </c>
      <c r="G203" s="72">
        <v>0.27500000000000002</v>
      </c>
      <c r="H203" s="87"/>
      <c r="I203" s="87"/>
      <c r="R203" s="13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  <c r="AF203" s="14"/>
      <c r="AG203" s="14"/>
      <c r="AH203" s="14"/>
      <c r="AI203" s="14"/>
      <c r="AJ203" s="14"/>
    </row>
    <row r="204" spans="3:36" x14ac:dyDescent="0.2">
      <c r="C204" s="72">
        <v>0.45</v>
      </c>
      <c r="D204" s="72">
        <v>0</v>
      </c>
      <c r="E204" s="72">
        <v>0.183333</v>
      </c>
      <c r="F204" s="72">
        <v>0.183333</v>
      </c>
      <c r="G204" s="72">
        <v>0.183333</v>
      </c>
      <c r="H204" s="87"/>
      <c r="I204" s="87"/>
      <c r="R204" s="13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  <c r="AF204" s="14"/>
      <c r="AG204" s="14"/>
      <c r="AH204" s="14"/>
      <c r="AI204" s="14"/>
      <c r="AJ204" s="14"/>
    </row>
    <row r="205" spans="3:36" x14ac:dyDescent="0.2">
      <c r="C205" s="72">
        <v>0.45</v>
      </c>
      <c r="D205" s="72">
        <v>0</v>
      </c>
      <c r="E205" s="72">
        <v>0.1</v>
      </c>
      <c r="F205" s="72">
        <v>0.45</v>
      </c>
      <c r="G205" s="72">
        <v>0</v>
      </c>
      <c r="H205" s="87"/>
      <c r="I205" s="87"/>
      <c r="R205" s="13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  <c r="AF205" s="14"/>
      <c r="AG205" s="14"/>
      <c r="AH205" s="14"/>
      <c r="AI205" s="14"/>
      <c r="AJ205" s="14"/>
    </row>
    <row r="206" spans="3:36" x14ac:dyDescent="0.2">
      <c r="C206" s="72">
        <v>0.45</v>
      </c>
      <c r="D206" s="72">
        <v>0</v>
      </c>
      <c r="E206" s="72">
        <v>0.1</v>
      </c>
      <c r="F206" s="72">
        <v>0</v>
      </c>
      <c r="G206" s="72">
        <v>0.45</v>
      </c>
      <c r="H206" s="87"/>
      <c r="I206" s="87"/>
      <c r="R206" s="13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  <c r="AF206" s="14"/>
      <c r="AG206" s="14"/>
      <c r="AH206" s="14"/>
      <c r="AI206" s="14"/>
      <c r="AJ206" s="14"/>
    </row>
    <row r="207" spans="3:36" x14ac:dyDescent="0.2">
      <c r="C207" s="72">
        <v>0.45</v>
      </c>
      <c r="D207" s="72">
        <v>0</v>
      </c>
      <c r="E207" s="72">
        <v>0</v>
      </c>
      <c r="F207" s="72">
        <v>0.55000000000000004</v>
      </c>
      <c r="G207" s="72">
        <v>0</v>
      </c>
      <c r="H207" s="87"/>
      <c r="I207" s="87"/>
      <c r="R207" s="13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  <c r="AF207" s="14"/>
      <c r="AG207" s="14"/>
      <c r="AH207" s="14"/>
      <c r="AI207" s="14"/>
      <c r="AJ207" s="14"/>
    </row>
    <row r="208" spans="3:36" x14ac:dyDescent="0.2">
      <c r="C208" s="72">
        <v>0.45</v>
      </c>
      <c r="D208" s="72">
        <v>0</v>
      </c>
      <c r="E208" s="72">
        <v>0</v>
      </c>
      <c r="F208" s="72">
        <v>0.45</v>
      </c>
      <c r="G208" s="72">
        <v>0.1</v>
      </c>
      <c r="H208" s="87"/>
      <c r="I208" s="87"/>
      <c r="R208" s="13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  <c r="AF208" s="14"/>
      <c r="AG208" s="14"/>
      <c r="AH208" s="14"/>
      <c r="AI208" s="14"/>
      <c r="AJ208" s="14"/>
    </row>
    <row r="209" spans="3:36" x14ac:dyDescent="0.2">
      <c r="C209" s="72">
        <v>0.45</v>
      </c>
      <c r="D209" s="72">
        <v>0</v>
      </c>
      <c r="E209" s="72">
        <v>0</v>
      </c>
      <c r="F209" s="72">
        <v>0.27500000000000002</v>
      </c>
      <c r="G209" s="72">
        <v>0.27500000000000002</v>
      </c>
      <c r="H209" s="87"/>
      <c r="I209" s="87"/>
      <c r="R209" s="13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  <c r="AF209" s="14"/>
      <c r="AG209" s="14"/>
      <c r="AH209" s="14"/>
      <c r="AI209" s="14"/>
      <c r="AJ209" s="14"/>
    </row>
    <row r="210" spans="3:36" x14ac:dyDescent="0.2">
      <c r="C210" s="72">
        <v>0.45</v>
      </c>
      <c r="D210" s="72">
        <v>0</v>
      </c>
      <c r="E210" s="72">
        <v>0</v>
      </c>
      <c r="F210" s="72">
        <v>0.1</v>
      </c>
      <c r="G210" s="72">
        <v>0.45</v>
      </c>
      <c r="H210" s="87"/>
      <c r="I210" s="87"/>
      <c r="R210" s="13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  <c r="AF210" s="14"/>
      <c r="AG210" s="14"/>
      <c r="AH210" s="14"/>
      <c r="AI210" s="14"/>
      <c r="AJ210" s="14"/>
    </row>
    <row r="211" spans="3:36" x14ac:dyDescent="0.2">
      <c r="C211" s="72">
        <v>0.45</v>
      </c>
      <c r="D211" s="72">
        <v>0</v>
      </c>
      <c r="E211" s="72">
        <v>0</v>
      </c>
      <c r="F211" s="72">
        <v>0</v>
      </c>
      <c r="G211" s="72">
        <v>0.55000000000000004</v>
      </c>
      <c r="H211" s="87"/>
      <c r="I211" s="87"/>
      <c r="R211" s="13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  <c r="AF211" s="14"/>
      <c r="AG211" s="14"/>
      <c r="AH211" s="14"/>
      <c r="AI211" s="14"/>
      <c r="AJ211" s="14"/>
    </row>
    <row r="212" spans="3:36" x14ac:dyDescent="0.2">
      <c r="C212" s="72">
        <v>0.42499999999999999</v>
      </c>
      <c r="D212" s="72">
        <v>0.42499999999999999</v>
      </c>
      <c r="E212" s="72">
        <v>0.15</v>
      </c>
      <c r="F212" s="72">
        <v>0</v>
      </c>
      <c r="G212" s="72">
        <v>0</v>
      </c>
      <c r="H212" s="87"/>
      <c r="I212" s="87"/>
      <c r="R212" s="13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  <c r="AF212" s="14"/>
      <c r="AG212" s="14"/>
      <c r="AH212" s="14"/>
      <c r="AI212" s="14"/>
      <c r="AJ212" s="14"/>
    </row>
    <row r="213" spans="3:36" x14ac:dyDescent="0.2">
      <c r="C213" s="72">
        <v>0.42499999999999999</v>
      </c>
      <c r="D213" s="72">
        <v>0.42499999999999999</v>
      </c>
      <c r="E213" s="72">
        <v>0</v>
      </c>
      <c r="F213" s="72">
        <v>0.15</v>
      </c>
      <c r="G213" s="72">
        <v>0</v>
      </c>
      <c r="H213" s="87"/>
      <c r="I213" s="87"/>
      <c r="R213" s="13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  <c r="AF213" s="14"/>
      <c r="AG213" s="14"/>
      <c r="AH213" s="14"/>
      <c r="AI213" s="14"/>
      <c r="AJ213" s="14"/>
    </row>
    <row r="214" spans="3:36" x14ac:dyDescent="0.2">
      <c r="C214" s="72">
        <v>0.42499999999999999</v>
      </c>
      <c r="D214" s="72">
        <v>0.42499999999999999</v>
      </c>
      <c r="E214" s="72">
        <v>0</v>
      </c>
      <c r="F214" s="72">
        <v>0</v>
      </c>
      <c r="G214" s="72">
        <v>0.15</v>
      </c>
      <c r="H214" s="87"/>
      <c r="I214" s="87"/>
      <c r="R214" s="13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  <c r="AF214" s="14"/>
      <c r="AG214" s="14"/>
      <c r="AH214" s="14"/>
      <c r="AI214" s="14"/>
      <c r="AJ214" s="14"/>
    </row>
    <row r="215" spans="3:36" x14ac:dyDescent="0.2">
      <c r="C215" s="72">
        <v>0.42499999999999999</v>
      </c>
      <c r="D215" s="72">
        <v>0.15</v>
      </c>
      <c r="E215" s="72">
        <v>0.42499999999999999</v>
      </c>
      <c r="F215" s="72">
        <v>0</v>
      </c>
      <c r="G215" s="72">
        <v>0</v>
      </c>
      <c r="H215" s="87"/>
      <c r="I215" s="87"/>
      <c r="R215" s="13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  <c r="AF215" s="14"/>
      <c r="AG215" s="14"/>
      <c r="AH215" s="14"/>
      <c r="AI215" s="14"/>
      <c r="AJ215" s="14"/>
    </row>
    <row r="216" spans="3:36" x14ac:dyDescent="0.2">
      <c r="C216" s="72">
        <v>0.42499999999999999</v>
      </c>
      <c r="D216" s="72">
        <v>0.15</v>
      </c>
      <c r="E216" s="72">
        <v>0</v>
      </c>
      <c r="F216" s="72">
        <v>0.42499999999999999</v>
      </c>
      <c r="G216" s="72">
        <v>0</v>
      </c>
      <c r="H216" s="87"/>
      <c r="I216" s="87"/>
      <c r="R216" s="13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  <c r="AF216" s="14"/>
      <c r="AG216" s="14"/>
      <c r="AH216" s="14"/>
      <c r="AI216" s="14"/>
      <c r="AJ216" s="14"/>
    </row>
    <row r="217" spans="3:36" x14ac:dyDescent="0.2">
      <c r="C217" s="72">
        <v>0.42499999999999999</v>
      </c>
      <c r="D217" s="72">
        <v>0.15</v>
      </c>
      <c r="E217" s="72">
        <v>0</v>
      </c>
      <c r="F217" s="72">
        <v>0</v>
      </c>
      <c r="G217" s="72">
        <v>0.42499999999999999</v>
      </c>
      <c r="H217" s="87"/>
      <c r="I217" s="87"/>
      <c r="R217" s="13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</row>
    <row r="218" spans="3:36" x14ac:dyDescent="0.2">
      <c r="C218" s="72">
        <v>0.42499999999999999</v>
      </c>
      <c r="D218" s="72">
        <v>0</v>
      </c>
      <c r="E218" s="72">
        <v>0.42499999999999999</v>
      </c>
      <c r="F218" s="72">
        <v>0.15</v>
      </c>
      <c r="G218" s="72">
        <v>0</v>
      </c>
      <c r="H218" s="87"/>
      <c r="I218" s="87"/>
      <c r="R218" s="13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</row>
    <row r="219" spans="3:36" x14ac:dyDescent="0.2">
      <c r="C219" s="72">
        <v>0.42499999999999999</v>
      </c>
      <c r="D219" s="72">
        <v>0</v>
      </c>
      <c r="E219" s="72">
        <v>0.42499999999999999</v>
      </c>
      <c r="F219" s="72">
        <v>0</v>
      </c>
      <c r="G219" s="72">
        <v>0.15</v>
      </c>
      <c r="H219" s="87"/>
      <c r="I219" s="87"/>
      <c r="R219" s="13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</row>
    <row r="220" spans="3:36" x14ac:dyDescent="0.2">
      <c r="C220" s="72">
        <v>0.42499999999999999</v>
      </c>
      <c r="D220" s="72">
        <v>0</v>
      </c>
      <c r="E220" s="72">
        <v>0.15</v>
      </c>
      <c r="F220" s="72">
        <v>0.42499999999999999</v>
      </c>
      <c r="G220" s="72">
        <v>0</v>
      </c>
      <c r="H220" s="87"/>
      <c r="I220" s="87"/>
      <c r="R220" s="13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</row>
    <row r="221" spans="3:36" x14ac:dyDescent="0.2">
      <c r="C221" s="72">
        <v>0.42499999999999999</v>
      </c>
      <c r="D221" s="72">
        <v>0</v>
      </c>
      <c r="E221" s="72">
        <v>0.15</v>
      </c>
      <c r="F221" s="72">
        <v>0</v>
      </c>
      <c r="G221" s="72">
        <v>0.42499999999999999</v>
      </c>
      <c r="H221" s="87"/>
      <c r="I221" s="87"/>
      <c r="R221" s="13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</row>
    <row r="222" spans="3:36" x14ac:dyDescent="0.2">
      <c r="C222" s="72">
        <v>0.42499999999999999</v>
      </c>
      <c r="D222" s="72">
        <v>0</v>
      </c>
      <c r="E222" s="72">
        <v>0</v>
      </c>
      <c r="F222" s="72">
        <v>0.42499999999999999</v>
      </c>
      <c r="G222" s="72">
        <v>0.15</v>
      </c>
      <c r="H222" s="87"/>
      <c r="I222" s="87"/>
      <c r="R222" s="13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</row>
    <row r="223" spans="3:36" x14ac:dyDescent="0.2">
      <c r="C223" s="72">
        <v>0.42499999999999999</v>
      </c>
      <c r="D223" s="72">
        <v>0</v>
      </c>
      <c r="E223" s="72">
        <v>0</v>
      </c>
      <c r="F223" s="72">
        <v>0.15</v>
      </c>
      <c r="G223" s="72">
        <v>0.42499999999999999</v>
      </c>
      <c r="H223" s="87"/>
      <c r="I223" s="87"/>
      <c r="R223" s="13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</row>
    <row r="224" spans="3:36" x14ac:dyDescent="0.2">
      <c r="C224" s="72">
        <v>0.4</v>
      </c>
      <c r="D224" s="72">
        <v>0.6</v>
      </c>
      <c r="E224" s="72">
        <v>0</v>
      </c>
      <c r="F224" s="72">
        <v>0</v>
      </c>
      <c r="G224" s="72">
        <v>0</v>
      </c>
      <c r="H224" s="87"/>
      <c r="I224" s="87"/>
      <c r="R224" s="13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</row>
    <row r="225" spans="3:36" x14ac:dyDescent="0.2">
      <c r="C225" s="72">
        <v>0.4</v>
      </c>
      <c r="D225" s="72">
        <v>0.4</v>
      </c>
      <c r="E225" s="72">
        <v>0.2</v>
      </c>
      <c r="F225" s="72">
        <v>0</v>
      </c>
      <c r="G225" s="72">
        <v>0</v>
      </c>
      <c r="H225" s="87"/>
      <c r="I225" s="87"/>
      <c r="R225" s="13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</row>
    <row r="226" spans="3:36" x14ac:dyDescent="0.2">
      <c r="C226" s="72">
        <v>0.4</v>
      </c>
      <c r="D226" s="72">
        <v>0.4</v>
      </c>
      <c r="E226" s="72">
        <v>0</v>
      </c>
      <c r="F226" s="72">
        <v>0.2</v>
      </c>
      <c r="G226" s="72">
        <v>0</v>
      </c>
      <c r="H226" s="87"/>
      <c r="I226" s="87"/>
      <c r="R226" s="13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</row>
    <row r="227" spans="3:36" x14ac:dyDescent="0.2">
      <c r="C227" s="72">
        <v>0.4</v>
      </c>
      <c r="D227" s="72">
        <v>0.4</v>
      </c>
      <c r="E227" s="72">
        <v>0</v>
      </c>
      <c r="F227" s="72">
        <v>0</v>
      </c>
      <c r="G227" s="72">
        <v>0.2</v>
      </c>
      <c r="H227" s="87"/>
      <c r="I227" s="87"/>
      <c r="R227" s="13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</row>
    <row r="228" spans="3:36" x14ac:dyDescent="0.2">
      <c r="C228" s="72">
        <v>0.4</v>
      </c>
      <c r="D228" s="72">
        <v>0.3</v>
      </c>
      <c r="E228" s="72">
        <v>0.3</v>
      </c>
      <c r="F228" s="72">
        <v>0</v>
      </c>
      <c r="G228" s="72">
        <v>0</v>
      </c>
      <c r="H228" s="87"/>
      <c r="I228" s="87"/>
      <c r="R228" s="13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</row>
    <row r="229" spans="3:36" x14ac:dyDescent="0.2">
      <c r="C229" s="72">
        <v>0.4</v>
      </c>
      <c r="D229" s="72">
        <v>0.3</v>
      </c>
      <c r="E229" s="72">
        <v>0</v>
      </c>
      <c r="F229" s="72">
        <v>0.3</v>
      </c>
      <c r="G229" s="72">
        <v>0</v>
      </c>
      <c r="H229" s="87"/>
      <c r="I229" s="87"/>
      <c r="R229" s="13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</row>
    <row r="230" spans="3:36" x14ac:dyDescent="0.2">
      <c r="C230" s="72">
        <v>0.4</v>
      </c>
      <c r="D230" s="72">
        <v>0.3</v>
      </c>
      <c r="E230" s="72">
        <v>0</v>
      </c>
      <c r="F230" s="72">
        <v>0</v>
      </c>
      <c r="G230" s="72">
        <v>0.3</v>
      </c>
      <c r="H230" s="87"/>
      <c r="I230" s="87"/>
      <c r="R230" s="13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</row>
    <row r="231" spans="3:36" x14ac:dyDescent="0.2">
      <c r="C231" s="72">
        <v>0.4</v>
      </c>
      <c r="D231" s="72">
        <v>0.2</v>
      </c>
      <c r="E231" s="72">
        <v>0.4</v>
      </c>
      <c r="F231" s="72">
        <v>0</v>
      </c>
      <c r="G231" s="72">
        <v>0</v>
      </c>
      <c r="H231" s="87"/>
      <c r="I231" s="87"/>
      <c r="R231" s="13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</row>
    <row r="232" spans="3:36" x14ac:dyDescent="0.2">
      <c r="C232" s="72">
        <v>0.4</v>
      </c>
      <c r="D232" s="72">
        <v>0.2</v>
      </c>
      <c r="E232" s="72">
        <v>0.2</v>
      </c>
      <c r="F232" s="72">
        <v>0.2</v>
      </c>
      <c r="G232" s="72">
        <v>0</v>
      </c>
      <c r="H232" s="87"/>
      <c r="I232" s="87"/>
      <c r="R232" s="13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</row>
    <row r="233" spans="3:36" x14ac:dyDescent="0.2">
      <c r="C233" s="72">
        <v>0.4</v>
      </c>
      <c r="D233" s="72">
        <v>0.2</v>
      </c>
      <c r="E233" s="72">
        <v>0.2</v>
      </c>
      <c r="F233" s="72">
        <v>0</v>
      </c>
      <c r="G233" s="72">
        <v>0.2</v>
      </c>
      <c r="H233" s="87"/>
      <c r="I233" s="87"/>
      <c r="R233" s="13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</row>
    <row r="234" spans="3:36" x14ac:dyDescent="0.2">
      <c r="C234" s="72">
        <v>0.4</v>
      </c>
      <c r="D234" s="72">
        <v>0.2</v>
      </c>
      <c r="E234" s="72">
        <v>0</v>
      </c>
      <c r="F234" s="72">
        <v>0.4</v>
      </c>
      <c r="G234" s="72">
        <v>0</v>
      </c>
      <c r="H234" s="87"/>
      <c r="I234" s="87"/>
      <c r="R234" s="13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</row>
    <row r="235" spans="3:36" x14ac:dyDescent="0.2">
      <c r="C235" s="72">
        <v>0.4</v>
      </c>
      <c r="D235" s="72">
        <v>0.2</v>
      </c>
      <c r="E235" s="72">
        <v>0</v>
      </c>
      <c r="F235" s="72">
        <v>0.2</v>
      </c>
      <c r="G235" s="72">
        <v>0.2</v>
      </c>
      <c r="H235" s="87"/>
      <c r="I235" s="87"/>
      <c r="R235" s="13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</row>
    <row r="236" spans="3:36" x14ac:dyDescent="0.2">
      <c r="C236" s="72">
        <v>0.4</v>
      </c>
      <c r="D236" s="72">
        <v>0.2</v>
      </c>
      <c r="E236" s="72">
        <v>0</v>
      </c>
      <c r="F236" s="72">
        <v>0</v>
      </c>
      <c r="G236" s="72">
        <v>0.4</v>
      </c>
      <c r="H236" s="87"/>
      <c r="I236" s="87"/>
      <c r="R236" s="13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</row>
    <row r="237" spans="3:36" x14ac:dyDescent="0.2">
      <c r="C237" s="72">
        <v>0.4</v>
      </c>
      <c r="D237" s="72">
        <v>0</v>
      </c>
      <c r="E237" s="72">
        <v>0.6</v>
      </c>
      <c r="F237" s="72">
        <v>0</v>
      </c>
      <c r="G237" s="72">
        <v>0</v>
      </c>
      <c r="H237" s="87"/>
      <c r="I237" s="87"/>
      <c r="R237" s="13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</row>
    <row r="238" spans="3:36" x14ac:dyDescent="0.2">
      <c r="C238" s="72">
        <v>0.4</v>
      </c>
      <c r="D238" s="72">
        <v>0</v>
      </c>
      <c r="E238" s="72">
        <v>0.4</v>
      </c>
      <c r="F238" s="72">
        <v>0.2</v>
      </c>
      <c r="G238" s="72">
        <v>0</v>
      </c>
      <c r="H238" s="87"/>
      <c r="I238" s="87"/>
      <c r="R238" s="13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</row>
    <row r="239" spans="3:36" x14ac:dyDescent="0.2">
      <c r="C239" s="72">
        <v>0.4</v>
      </c>
      <c r="D239" s="72">
        <v>0</v>
      </c>
      <c r="E239" s="72">
        <v>0.4</v>
      </c>
      <c r="F239" s="72">
        <v>0</v>
      </c>
      <c r="G239" s="72">
        <v>0.2</v>
      </c>
      <c r="H239" s="87"/>
      <c r="I239" s="87"/>
      <c r="R239" s="13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</row>
    <row r="240" spans="3:36" x14ac:dyDescent="0.2">
      <c r="C240" s="72">
        <v>0.4</v>
      </c>
      <c r="D240" s="72">
        <v>0</v>
      </c>
      <c r="E240" s="72">
        <v>0.3</v>
      </c>
      <c r="F240" s="72">
        <v>0.3</v>
      </c>
      <c r="G240" s="72">
        <v>0</v>
      </c>
      <c r="H240" s="87"/>
      <c r="I240" s="87"/>
      <c r="R240" s="13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</row>
    <row r="241" spans="3:36" x14ac:dyDescent="0.2">
      <c r="C241" s="72">
        <v>0.4</v>
      </c>
      <c r="D241" s="72">
        <v>0</v>
      </c>
      <c r="E241" s="72">
        <v>0.3</v>
      </c>
      <c r="F241" s="72">
        <v>0</v>
      </c>
      <c r="G241" s="72">
        <v>0.3</v>
      </c>
      <c r="H241" s="87"/>
      <c r="I241" s="87"/>
      <c r="R241" s="13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</row>
    <row r="242" spans="3:36" x14ac:dyDescent="0.2">
      <c r="C242" s="72">
        <v>0.4</v>
      </c>
      <c r="D242" s="72">
        <v>0</v>
      </c>
      <c r="E242" s="72">
        <v>0.2</v>
      </c>
      <c r="F242" s="72">
        <v>0.4</v>
      </c>
      <c r="G242" s="72">
        <v>0</v>
      </c>
      <c r="H242" s="87"/>
      <c r="I242" s="87"/>
      <c r="R242" s="13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</row>
    <row r="243" spans="3:36" x14ac:dyDescent="0.2">
      <c r="C243" s="72">
        <v>0.4</v>
      </c>
      <c r="D243" s="72">
        <v>0</v>
      </c>
      <c r="E243" s="72">
        <v>0.2</v>
      </c>
      <c r="F243" s="72">
        <v>0.2</v>
      </c>
      <c r="G243" s="72">
        <v>0.2</v>
      </c>
      <c r="H243" s="87"/>
      <c r="I243" s="87"/>
      <c r="R243" s="13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</row>
    <row r="244" spans="3:36" x14ac:dyDescent="0.2">
      <c r="C244" s="72">
        <v>0.4</v>
      </c>
      <c r="D244" s="72">
        <v>0</v>
      </c>
      <c r="E244" s="72">
        <v>0.2</v>
      </c>
      <c r="F244" s="72">
        <v>0</v>
      </c>
      <c r="G244" s="72">
        <v>0.4</v>
      </c>
      <c r="H244" s="87"/>
      <c r="I244" s="87"/>
      <c r="R244" s="13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</row>
    <row r="245" spans="3:36" x14ac:dyDescent="0.2">
      <c r="C245" s="72">
        <v>0.4</v>
      </c>
      <c r="D245" s="72">
        <v>0</v>
      </c>
      <c r="E245" s="72">
        <v>0</v>
      </c>
      <c r="F245" s="72">
        <v>0.6</v>
      </c>
      <c r="G245" s="72">
        <v>0</v>
      </c>
      <c r="H245" s="87"/>
      <c r="I245" s="87"/>
      <c r="R245" s="13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</row>
    <row r="246" spans="3:36" x14ac:dyDescent="0.2">
      <c r="C246" s="72">
        <v>0.4</v>
      </c>
      <c r="D246" s="72">
        <v>0</v>
      </c>
      <c r="E246" s="72">
        <v>0</v>
      </c>
      <c r="F246" s="72">
        <v>0.4</v>
      </c>
      <c r="G246" s="72">
        <v>0.2</v>
      </c>
      <c r="H246" s="87"/>
      <c r="I246" s="87"/>
      <c r="R246" s="13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</row>
    <row r="247" spans="3:36" x14ac:dyDescent="0.2">
      <c r="C247" s="72">
        <v>0.4</v>
      </c>
      <c r="D247" s="72">
        <v>0</v>
      </c>
      <c r="E247" s="72">
        <v>0</v>
      </c>
      <c r="F247" s="72">
        <v>0.3</v>
      </c>
      <c r="G247" s="72">
        <v>0.3</v>
      </c>
      <c r="H247" s="87"/>
      <c r="I247" s="87"/>
      <c r="R247" s="13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</row>
    <row r="248" spans="3:36" x14ac:dyDescent="0.2">
      <c r="C248" s="72">
        <v>0.4</v>
      </c>
      <c r="D248" s="72">
        <v>0</v>
      </c>
      <c r="E248" s="72">
        <v>0</v>
      </c>
      <c r="F248" s="72">
        <v>0.2</v>
      </c>
      <c r="G248" s="72">
        <v>0.4</v>
      </c>
      <c r="H248" s="87"/>
      <c r="I248" s="87"/>
      <c r="R248" s="13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</row>
    <row r="249" spans="3:36" x14ac:dyDescent="0.2">
      <c r="C249" s="72">
        <v>0.4</v>
      </c>
      <c r="D249" s="72">
        <v>0</v>
      </c>
      <c r="E249" s="72">
        <v>0</v>
      </c>
      <c r="F249" s="72">
        <v>0</v>
      </c>
      <c r="G249" s="72">
        <v>0.6</v>
      </c>
      <c r="H249" s="87"/>
      <c r="I249" s="87"/>
      <c r="R249" s="13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</row>
    <row r="250" spans="3:36" x14ac:dyDescent="0.2">
      <c r="C250" s="72">
        <v>0.375</v>
      </c>
      <c r="D250" s="72">
        <v>0.375</v>
      </c>
      <c r="E250" s="72">
        <v>0.25</v>
      </c>
      <c r="F250" s="72">
        <v>0</v>
      </c>
      <c r="G250" s="72">
        <v>0</v>
      </c>
      <c r="H250" s="87"/>
      <c r="I250" s="87"/>
      <c r="R250" s="13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</row>
    <row r="251" spans="3:36" x14ac:dyDescent="0.2">
      <c r="C251" s="72">
        <v>0.375</v>
      </c>
      <c r="D251" s="72">
        <v>0.375</v>
      </c>
      <c r="E251" s="72">
        <v>0</v>
      </c>
      <c r="F251" s="72">
        <v>0.25</v>
      </c>
      <c r="G251" s="72">
        <v>0</v>
      </c>
      <c r="H251" s="87"/>
      <c r="I251" s="87"/>
      <c r="R251" s="13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</row>
    <row r="252" spans="3:36" x14ac:dyDescent="0.2">
      <c r="C252" s="72">
        <v>0.375</v>
      </c>
      <c r="D252" s="72">
        <v>0.375</v>
      </c>
      <c r="E252" s="72">
        <v>0</v>
      </c>
      <c r="F252" s="72">
        <v>0</v>
      </c>
      <c r="G252" s="72">
        <v>0.25</v>
      </c>
      <c r="H252" s="87"/>
      <c r="I252" s="87"/>
      <c r="R252" s="13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</row>
    <row r="253" spans="3:36" x14ac:dyDescent="0.2">
      <c r="C253" s="72">
        <v>0.375</v>
      </c>
      <c r="D253" s="72">
        <v>0.25</v>
      </c>
      <c r="E253" s="72">
        <v>0.375</v>
      </c>
      <c r="F253" s="72">
        <v>0</v>
      </c>
      <c r="G253" s="72">
        <v>0</v>
      </c>
      <c r="H253" s="87"/>
      <c r="I253" s="87"/>
      <c r="R253" s="13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</row>
    <row r="254" spans="3:36" x14ac:dyDescent="0.2">
      <c r="C254" s="72">
        <v>0.375</v>
      </c>
      <c r="D254" s="72">
        <v>0.25</v>
      </c>
      <c r="E254" s="72">
        <v>0</v>
      </c>
      <c r="F254" s="72">
        <v>0.375</v>
      </c>
      <c r="G254" s="72">
        <v>0</v>
      </c>
      <c r="H254" s="87"/>
      <c r="I254" s="87"/>
      <c r="R254" s="13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</row>
    <row r="255" spans="3:36" x14ac:dyDescent="0.2">
      <c r="C255" s="72">
        <v>0.375</v>
      </c>
      <c r="D255" s="72">
        <v>0.25</v>
      </c>
      <c r="E255" s="72">
        <v>0</v>
      </c>
      <c r="F255" s="72">
        <v>0</v>
      </c>
      <c r="G255" s="72">
        <v>0.375</v>
      </c>
      <c r="H255" s="87"/>
      <c r="I255" s="87"/>
      <c r="R255" s="13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</row>
    <row r="256" spans="3:36" x14ac:dyDescent="0.2">
      <c r="C256" s="72">
        <v>0.375</v>
      </c>
      <c r="D256" s="72">
        <v>0</v>
      </c>
      <c r="E256" s="72">
        <v>0.375</v>
      </c>
      <c r="F256" s="72">
        <v>0.25</v>
      </c>
      <c r="G256" s="72">
        <v>0</v>
      </c>
      <c r="H256" s="87"/>
      <c r="I256" s="87"/>
      <c r="R256" s="13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</row>
    <row r="257" spans="3:36" x14ac:dyDescent="0.2">
      <c r="C257" s="72">
        <v>0.375</v>
      </c>
      <c r="D257" s="72">
        <v>0</v>
      </c>
      <c r="E257" s="72">
        <v>0.375</v>
      </c>
      <c r="F257" s="72">
        <v>0</v>
      </c>
      <c r="G257" s="72">
        <v>0.25</v>
      </c>
      <c r="H257" s="87"/>
      <c r="I257" s="87"/>
      <c r="R257" s="13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</row>
    <row r="258" spans="3:36" x14ac:dyDescent="0.2">
      <c r="C258" s="72">
        <v>0.375</v>
      </c>
      <c r="D258" s="72">
        <v>0</v>
      </c>
      <c r="E258" s="72">
        <v>0.25</v>
      </c>
      <c r="F258" s="72">
        <v>0.375</v>
      </c>
      <c r="G258" s="72">
        <v>0</v>
      </c>
      <c r="H258" s="87"/>
      <c r="I258" s="87"/>
      <c r="R258" s="13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</row>
    <row r="259" spans="3:36" x14ac:dyDescent="0.2">
      <c r="C259" s="72">
        <v>0.375</v>
      </c>
      <c r="D259" s="72">
        <v>0</v>
      </c>
      <c r="E259" s="72">
        <v>0.25</v>
      </c>
      <c r="F259" s="72">
        <v>0</v>
      </c>
      <c r="G259" s="72">
        <v>0.375</v>
      </c>
      <c r="H259" s="87"/>
      <c r="I259" s="87"/>
      <c r="R259" s="13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</row>
    <row r="260" spans="3:36" x14ac:dyDescent="0.2">
      <c r="C260" s="72">
        <v>0.375</v>
      </c>
      <c r="D260" s="72">
        <v>0</v>
      </c>
      <c r="E260" s="72">
        <v>0</v>
      </c>
      <c r="F260" s="72">
        <v>0.375</v>
      </c>
      <c r="G260" s="72">
        <v>0.25</v>
      </c>
      <c r="H260" s="87"/>
      <c r="I260" s="87"/>
      <c r="R260" s="13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</row>
    <row r="261" spans="3:36" x14ac:dyDescent="0.2">
      <c r="C261" s="72">
        <v>0.375</v>
      </c>
      <c r="D261" s="72">
        <v>0</v>
      </c>
      <c r="E261" s="72">
        <v>0</v>
      </c>
      <c r="F261" s="72">
        <v>0.25</v>
      </c>
      <c r="G261" s="72">
        <v>0.375</v>
      </c>
      <c r="H261" s="87"/>
      <c r="I261" s="87"/>
      <c r="R261" s="13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</row>
    <row r="262" spans="3:36" x14ac:dyDescent="0.2">
      <c r="C262" s="72">
        <v>0.35</v>
      </c>
      <c r="D262" s="72">
        <v>0.65</v>
      </c>
      <c r="E262" s="72">
        <v>0</v>
      </c>
      <c r="F262" s="72">
        <v>0</v>
      </c>
      <c r="G262" s="72">
        <v>0</v>
      </c>
      <c r="H262" s="87"/>
      <c r="I262" s="87"/>
      <c r="R262" s="13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</row>
    <row r="263" spans="3:36" x14ac:dyDescent="0.2">
      <c r="C263" s="72">
        <v>0.35</v>
      </c>
      <c r="D263" s="72">
        <v>0.35</v>
      </c>
      <c r="E263" s="72">
        <v>0.3</v>
      </c>
      <c r="F263" s="72">
        <v>0</v>
      </c>
      <c r="G263" s="72">
        <v>0</v>
      </c>
      <c r="H263" s="87"/>
      <c r="I263" s="87"/>
      <c r="R263" s="13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</row>
    <row r="264" spans="3:36" x14ac:dyDescent="0.2">
      <c r="C264" s="72">
        <v>0.35</v>
      </c>
      <c r="D264" s="72">
        <v>0.35</v>
      </c>
      <c r="E264" s="72">
        <v>0</v>
      </c>
      <c r="F264" s="72">
        <v>0.3</v>
      </c>
      <c r="G264" s="72">
        <v>0</v>
      </c>
      <c r="H264" s="87"/>
      <c r="I264" s="87"/>
      <c r="R264" s="13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</row>
    <row r="265" spans="3:36" x14ac:dyDescent="0.2">
      <c r="C265" s="72">
        <v>0.35</v>
      </c>
      <c r="D265" s="72">
        <v>0.35</v>
      </c>
      <c r="E265" s="72">
        <v>0</v>
      </c>
      <c r="F265" s="72">
        <v>0</v>
      </c>
      <c r="G265" s="72">
        <v>0.3</v>
      </c>
      <c r="H265" s="87"/>
      <c r="I265" s="87"/>
      <c r="R265" s="13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</row>
    <row r="266" spans="3:36" x14ac:dyDescent="0.2">
      <c r="C266" s="72">
        <v>0.35</v>
      </c>
      <c r="D266" s="72">
        <v>0.32500000000000001</v>
      </c>
      <c r="E266" s="72">
        <v>0.32500000000000001</v>
      </c>
      <c r="F266" s="72">
        <v>0</v>
      </c>
      <c r="G266" s="72">
        <v>0</v>
      </c>
      <c r="H266" s="87"/>
      <c r="I266" s="87"/>
      <c r="R266" s="13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</row>
    <row r="267" spans="3:36" x14ac:dyDescent="0.2">
      <c r="C267" s="72">
        <v>0.35</v>
      </c>
      <c r="D267" s="72">
        <v>0.32500000000000001</v>
      </c>
      <c r="E267" s="72">
        <v>0</v>
      </c>
      <c r="F267" s="72">
        <v>0.32500000000000001</v>
      </c>
      <c r="G267" s="72">
        <v>0</v>
      </c>
      <c r="H267" s="87"/>
      <c r="I267" s="87"/>
      <c r="R267" s="13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</row>
    <row r="268" spans="3:36" x14ac:dyDescent="0.2">
      <c r="C268" s="72">
        <v>0.35</v>
      </c>
      <c r="D268" s="72">
        <v>0.32500000000000001</v>
      </c>
      <c r="E268" s="72">
        <v>0</v>
      </c>
      <c r="F268" s="72">
        <v>0</v>
      </c>
      <c r="G268" s="72">
        <v>0.32500000000000001</v>
      </c>
      <c r="H268" s="87"/>
      <c r="I268" s="87"/>
      <c r="R268" s="13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</row>
    <row r="269" spans="3:36" x14ac:dyDescent="0.2">
      <c r="C269" s="72">
        <v>0.35</v>
      </c>
      <c r="D269" s="72">
        <v>0.3</v>
      </c>
      <c r="E269" s="72">
        <v>0.35</v>
      </c>
      <c r="F269" s="72">
        <v>0</v>
      </c>
      <c r="G269" s="72">
        <v>0</v>
      </c>
      <c r="H269" s="87"/>
      <c r="I269" s="87"/>
      <c r="R269" s="13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</row>
    <row r="270" spans="3:36" x14ac:dyDescent="0.2">
      <c r="C270" s="72">
        <v>0.35</v>
      </c>
      <c r="D270" s="72">
        <v>0.3</v>
      </c>
      <c r="E270" s="72">
        <v>0</v>
      </c>
      <c r="F270" s="72">
        <v>0.35</v>
      </c>
      <c r="G270" s="72">
        <v>0</v>
      </c>
      <c r="H270" s="87"/>
      <c r="I270" s="87"/>
      <c r="R270" s="13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</row>
    <row r="271" spans="3:36" x14ac:dyDescent="0.2">
      <c r="C271" s="72">
        <v>0.35</v>
      </c>
      <c r="D271" s="72">
        <v>0.3</v>
      </c>
      <c r="E271" s="72">
        <v>0</v>
      </c>
      <c r="F271" s="72">
        <v>0</v>
      </c>
      <c r="G271" s="72">
        <v>0.35</v>
      </c>
      <c r="H271" s="87"/>
      <c r="I271" s="87"/>
      <c r="R271" s="13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</row>
    <row r="272" spans="3:36" x14ac:dyDescent="0.2">
      <c r="C272" s="72">
        <v>0.35</v>
      </c>
      <c r="D272" s="72">
        <v>0.216667</v>
      </c>
      <c r="E272" s="72">
        <v>0.216667</v>
      </c>
      <c r="F272" s="72">
        <v>0.216667</v>
      </c>
      <c r="G272" s="72">
        <v>0</v>
      </c>
      <c r="H272" s="87"/>
      <c r="I272" s="87"/>
      <c r="R272" s="13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</row>
    <row r="273" spans="3:36" x14ac:dyDescent="0.2">
      <c r="C273" s="72">
        <v>0.35</v>
      </c>
      <c r="D273" s="72">
        <v>0.216667</v>
      </c>
      <c r="E273" s="72">
        <v>0.216667</v>
      </c>
      <c r="F273" s="72">
        <v>0</v>
      </c>
      <c r="G273" s="72">
        <v>0.216667</v>
      </c>
      <c r="H273" s="87"/>
      <c r="I273" s="87"/>
      <c r="R273" s="13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</row>
    <row r="274" spans="3:36" x14ac:dyDescent="0.2">
      <c r="C274" s="72">
        <v>0.35</v>
      </c>
      <c r="D274" s="72">
        <v>0.216667</v>
      </c>
      <c r="E274" s="72">
        <v>0</v>
      </c>
      <c r="F274" s="72">
        <v>0.216667</v>
      </c>
      <c r="G274" s="72">
        <v>0.216667</v>
      </c>
      <c r="H274" s="87"/>
      <c r="I274" s="87"/>
      <c r="R274" s="13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</row>
    <row r="275" spans="3:36" x14ac:dyDescent="0.2">
      <c r="C275" s="72">
        <v>0.35</v>
      </c>
      <c r="D275" s="72">
        <v>0</v>
      </c>
      <c r="E275" s="72">
        <v>0.65</v>
      </c>
      <c r="F275" s="72">
        <v>0</v>
      </c>
      <c r="G275" s="72">
        <v>0</v>
      </c>
      <c r="H275" s="87"/>
      <c r="I275" s="87"/>
      <c r="R275" s="13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</row>
    <row r="276" spans="3:36" x14ac:dyDescent="0.2">
      <c r="C276" s="72">
        <v>0.35</v>
      </c>
      <c r="D276" s="72">
        <v>0</v>
      </c>
      <c r="E276" s="72">
        <v>0.35</v>
      </c>
      <c r="F276" s="72">
        <v>0.3</v>
      </c>
      <c r="G276" s="72">
        <v>0</v>
      </c>
      <c r="H276" s="87"/>
      <c r="I276" s="87"/>
      <c r="R276" s="13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</row>
    <row r="277" spans="3:36" x14ac:dyDescent="0.2">
      <c r="C277" s="72">
        <v>0.35</v>
      </c>
      <c r="D277" s="72">
        <v>0</v>
      </c>
      <c r="E277" s="72">
        <v>0.35</v>
      </c>
      <c r="F277" s="72">
        <v>0</v>
      </c>
      <c r="G277" s="72">
        <v>0.3</v>
      </c>
      <c r="H277" s="87"/>
      <c r="I277" s="87"/>
      <c r="R277" s="13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</row>
    <row r="278" spans="3:36" x14ac:dyDescent="0.2">
      <c r="C278" s="72">
        <v>0.35</v>
      </c>
      <c r="D278" s="72">
        <v>0</v>
      </c>
      <c r="E278" s="72">
        <v>0.32500000000000001</v>
      </c>
      <c r="F278" s="72">
        <v>0.32500000000000001</v>
      </c>
      <c r="G278" s="72">
        <v>0</v>
      </c>
      <c r="H278" s="87"/>
      <c r="I278" s="87"/>
    </row>
    <row r="279" spans="3:36" x14ac:dyDescent="0.2">
      <c r="C279" s="72">
        <v>0.35</v>
      </c>
      <c r="D279" s="72">
        <v>0</v>
      </c>
      <c r="E279" s="72">
        <v>0.32500000000000001</v>
      </c>
      <c r="F279" s="72">
        <v>0</v>
      </c>
      <c r="G279" s="72">
        <v>0.32500000000000001</v>
      </c>
      <c r="H279" s="87"/>
      <c r="I279" s="87"/>
    </row>
    <row r="280" spans="3:36" x14ac:dyDescent="0.2">
      <c r="C280" s="72">
        <v>0.35</v>
      </c>
      <c r="D280" s="72">
        <v>0</v>
      </c>
      <c r="E280" s="72">
        <v>0.3</v>
      </c>
      <c r="F280" s="72">
        <v>0.35</v>
      </c>
      <c r="G280" s="72">
        <v>0</v>
      </c>
      <c r="H280" s="87"/>
      <c r="I280" s="87"/>
    </row>
    <row r="281" spans="3:36" x14ac:dyDescent="0.2">
      <c r="C281" s="72">
        <v>0.35</v>
      </c>
      <c r="D281" s="72">
        <v>0</v>
      </c>
      <c r="E281" s="72">
        <v>0.3</v>
      </c>
      <c r="F281" s="72">
        <v>0</v>
      </c>
      <c r="G281" s="72">
        <v>0.35</v>
      </c>
      <c r="H281" s="87"/>
      <c r="I281" s="87"/>
    </row>
    <row r="282" spans="3:36" x14ac:dyDescent="0.2">
      <c r="C282" s="72">
        <v>0.35</v>
      </c>
      <c r="D282" s="72">
        <v>0</v>
      </c>
      <c r="E282" s="72">
        <v>0.216667</v>
      </c>
      <c r="F282" s="72">
        <v>0.216667</v>
      </c>
      <c r="G282" s="72">
        <v>0.216667</v>
      </c>
      <c r="H282" s="87"/>
      <c r="I282" s="87"/>
    </row>
    <row r="283" spans="3:36" x14ac:dyDescent="0.2">
      <c r="C283" s="72">
        <v>0.35</v>
      </c>
      <c r="D283" s="72">
        <v>0</v>
      </c>
      <c r="E283" s="72">
        <v>0</v>
      </c>
      <c r="F283" s="72">
        <v>0.65</v>
      </c>
      <c r="G283" s="72">
        <v>0</v>
      </c>
      <c r="H283" s="87"/>
      <c r="I283" s="87"/>
    </row>
    <row r="284" spans="3:36" x14ac:dyDescent="0.2">
      <c r="C284" s="72">
        <v>0.35</v>
      </c>
      <c r="D284" s="72">
        <v>0</v>
      </c>
      <c r="E284" s="72">
        <v>0</v>
      </c>
      <c r="F284" s="72">
        <v>0.35</v>
      </c>
      <c r="G284" s="72">
        <v>0.3</v>
      </c>
      <c r="H284" s="87"/>
      <c r="I284" s="87"/>
    </row>
    <row r="285" spans="3:36" x14ac:dyDescent="0.2">
      <c r="C285" s="72">
        <v>0.35</v>
      </c>
      <c r="D285" s="72">
        <v>0</v>
      </c>
      <c r="E285" s="72">
        <v>0</v>
      </c>
      <c r="F285" s="72">
        <v>0.32500000000000001</v>
      </c>
      <c r="G285" s="72">
        <v>0.32500000000000001</v>
      </c>
      <c r="H285" s="87"/>
      <c r="I285" s="87"/>
    </row>
    <row r="286" spans="3:36" x14ac:dyDescent="0.2">
      <c r="C286" s="72">
        <v>0.35</v>
      </c>
      <c r="D286" s="72">
        <v>0</v>
      </c>
      <c r="E286" s="72">
        <v>0</v>
      </c>
      <c r="F286" s="72">
        <v>0.3</v>
      </c>
      <c r="G286" s="72">
        <v>0.35</v>
      </c>
      <c r="H286" s="87"/>
      <c r="I286" s="87"/>
    </row>
    <row r="287" spans="3:36" x14ac:dyDescent="0.2">
      <c r="C287" s="72">
        <v>0.35</v>
      </c>
      <c r="D287" s="72">
        <v>0</v>
      </c>
      <c r="E287" s="72">
        <v>0</v>
      </c>
      <c r="F287" s="72">
        <v>0</v>
      </c>
      <c r="G287" s="72">
        <v>0.65</v>
      </c>
      <c r="H287" s="87"/>
      <c r="I287" s="87"/>
    </row>
    <row r="288" spans="3:36" x14ac:dyDescent="0.2">
      <c r="C288" s="72">
        <v>0.33333299999999999</v>
      </c>
      <c r="D288" s="72">
        <v>0.33333299999999999</v>
      </c>
      <c r="E288" s="72">
        <v>0.33333299999999999</v>
      </c>
      <c r="F288" s="72">
        <v>0</v>
      </c>
      <c r="G288" s="72">
        <v>0</v>
      </c>
      <c r="H288" s="87"/>
      <c r="I288" s="87"/>
    </row>
    <row r="289" spans="3:9" x14ac:dyDescent="0.2">
      <c r="C289" s="72">
        <v>0.33333299999999999</v>
      </c>
      <c r="D289" s="72">
        <v>0.33333299999999999</v>
      </c>
      <c r="E289" s="72">
        <v>0</v>
      </c>
      <c r="F289" s="72">
        <v>0.33333299999999999</v>
      </c>
      <c r="G289" s="72">
        <v>0</v>
      </c>
      <c r="H289" s="87"/>
      <c r="I289" s="87"/>
    </row>
    <row r="290" spans="3:9" x14ac:dyDescent="0.2">
      <c r="C290" s="72">
        <v>0.33333299999999999</v>
      </c>
      <c r="D290" s="72">
        <v>0.33333299999999999</v>
      </c>
      <c r="E290" s="72">
        <v>0</v>
      </c>
      <c r="F290" s="72">
        <v>0</v>
      </c>
      <c r="G290" s="72">
        <v>0.33333299999999999</v>
      </c>
      <c r="H290" s="87"/>
      <c r="I290" s="87"/>
    </row>
    <row r="291" spans="3:9" x14ac:dyDescent="0.2">
      <c r="C291" s="72">
        <v>0.33333299999999999</v>
      </c>
      <c r="D291" s="72">
        <v>0</v>
      </c>
      <c r="E291" s="72">
        <v>0.33333299999999999</v>
      </c>
      <c r="F291" s="72">
        <v>0.33333299999999999</v>
      </c>
      <c r="G291" s="72">
        <v>0</v>
      </c>
      <c r="H291" s="87"/>
      <c r="I291" s="87"/>
    </row>
    <row r="292" spans="3:9" x14ac:dyDescent="0.2">
      <c r="C292" s="72">
        <v>0.33333299999999999</v>
      </c>
      <c r="D292" s="72">
        <v>0</v>
      </c>
      <c r="E292" s="72">
        <v>0.33333299999999999</v>
      </c>
      <c r="F292" s="72">
        <v>0</v>
      </c>
      <c r="G292" s="72">
        <v>0.33333299999999999</v>
      </c>
      <c r="H292" s="87"/>
      <c r="I292" s="87"/>
    </row>
    <row r="293" spans="3:9" x14ac:dyDescent="0.2">
      <c r="C293" s="72">
        <v>0.33333299999999999</v>
      </c>
      <c r="D293" s="72">
        <v>0</v>
      </c>
      <c r="E293" s="72">
        <v>0</v>
      </c>
      <c r="F293" s="72">
        <v>0.33333299999999999</v>
      </c>
      <c r="G293" s="72">
        <v>0.33333299999999999</v>
      </c>
      <c r="H293" s="87"/>
      <c r="I293" s="87"/>
    </row>
    <row r="294" spans="3:9" x14ac:dyDescent="0.2">
      <c r="C294" s="72">
        <v>0.32500000000000001</v>
      </c>
      <c r="D294" s="72">
        <v>0.35</v>
      </c>
      <c r="E294" s="72">
        <v>0.32500000000000001</v>
      </c>
      <c r="F294" s="72">
        <v>0</v>
      </c>
      <c r="G294" s="72">
        <v>0</v>
      </c>
      <c r="H294" s="87"/>
      <c r="I294" s="87"/>
    </row>
    <row r="295" spans="3:9" x14ac:dyDescent="0.2">
      <c r="C295" s="72">
        <v>0.32500000000000001</v>
      </c>
      <c r="D295" s="72">
        <v>0.35</v>
      </c>
      <c r="E295" s="72">
        <v>0</v>
      </c>
      <c r="F295" s="72">
        <v>0.32500000000000001</v>
      </c>
      <c r="G295" s="72">
        <v>0</v>
      </c>
      <c r="H295" s="87"/>
      <c r="I295" s="87"/>
    </row>
    <row r="296" spans="3:9" x14ac:dyDescent="0.2">
      <c r="C296" s="72">
        <v>0.32500000000000001</v>
      </c>
      <c r="D296" s="72">
        <v>0.35</v>
      </c>
      <c r="E296" s="72">
        <v>0</v>
      </c>
      <c r="F296" s="72">
        <v>0</v>
      </c>
      <c r="G296" s="72">
        <v>0.32500000000000001</v>
      </c>
      <c r="H296" s="87"/>
      <c r="I296" s="87"/>
    </row>
    <row r="297" spans="3:9" x14ac:dyDescent="0.2">
      <c r="C297" s="72">
        <v>0.32500000000000001</v>
      </c>
      <c r="D297" s="72">
        <v>0.32500000000000001</v>
      </c>
      <c r="E297" s="72">
        <v>0.35</v>
      </c>
      <c r="F297" s="72">
        <v>0</v>
      </c>
      <c r="G297" s="72">
        <v>0</v>
      </c>
      <c r="H297" s="87"/>
      <c r="I297" s="87"/>
    </row>
    <row r="298" spans="3:9" x14ac:dyDescent="0.2">
      <c r="C298" s="72">
        <v>0.32500000000000001</v>
      </c>
      <c r="D298" s="72">
        <v>0.32500000000000001</v>
      </c>
      <c r="E298" s="72">
        <v>0</v>
      </c>
      <c r="F298" s="72">
        <v>0.35</v>
      </c>
      <c r="G298" s="72">
        <v>0</v>
      </c>
      <c r="H298" s="87"/>
      <c r="I298" s="87"/>
    </row>
    <row r="299" spans="3:9" x14ac:dyDescent="0.2">
      <c r="C299" s="72">
        <v>0.32500000000000001</v>
      </c>
      <c r="D299" s="72">
        <v>0.32500000000000001</v>
      </c>
      <c r="E299" s="72">
        <v>0</v>
      </c>
      <c r="F299" s="72">
        <v>0</v>
      </c>
      <c r="G299" s="72">
        <v>0.35</v>
      </c>
      <c r="H299" s="87"/>
      <c r="I299" s="87"/>
    </row>
    <row r="300" spans="3:9" x14ac:dyDescent="0.2">
      <c r="C300" s="72">
        <v>0.32500000000000001</v>
      </c>
      <c r="D300" s="72">
        <v>0</v>
      </c>
      <c r="E300" s="72">
        <v>0.35</v>
      </c>
      <c r="F300" s="72">
        <v>0.32500000000000001</v>
      </c>
      <c r="G300" s="72">
        <v>0</v>
      </c>
      <c r="H300" s="87"/>
      <c r="I300" s="87"/>
    </row>
    <row r="301" spans="3:9" x14ac:dyDescent="0.2">
      <c r="C301" s="72">
        <v>0.32500000000000001</v>
      </c>
      <c r="D301" s="72">
        <v>0</v>
      </c>
      <c r="E301" s="72">
        <v>0.35</v>
      </c>
      <c r="F301" s="72">
        <v>0</v>
      </c>
      <c r="G301" s="72">
        <v>0.32500000000000001</v>
      </c>
      <c r="H301" s="87"/>
      <c r="I301" s="87"/>
    </row>
    <row r="302" spans="3:9" x14ac:dyDescent="0.2">
      <c r="C302" s="72">
        <v>0.32500000000000001</v>
      </c>
      <c r="D302" s="72">
        <v>0</v>
      </c>
      <c r="E302" s="72">
        <v>0.32500000000000001</v>
      </c>
      <c r="F302" s="72">
        <v>0.35</v>
      </c>
      <c r="G302" s="72">
        <v>0</v>
      </c>
      <c r="H302" s="87"/>
      <c r="I302" s="87"/>
    </row>
    <row r="303" spans="3:9" x14ac:dyDescent="0.2">
      <c r="C303" s="72">
        <v>0.32500000000000001</v>
      </c>
      <c r="D303" s="72">
        <v>0</v>
      </c>
      <c r="E303" s="72">
        <v>0.32500000000000001</v>
      </c>
      <c r="F303" s="72">
        <v>0</v>
      </c>
      <c r="G303" s="72">
        <v>0.35</v>
      </c>
      <c r="H303" s="87"/>
      <c r="I303" s="87"/>
    </row>
    <row r="304" spans="3:9" x14ac:dyDescent="0.2">
      <c r="C304" s="72">
        <v>0.32500000000000001</v>
      </c>
      <c r="D304" s="72">
        <v>0</v>
      </c>
      <c r="E304" s="72">
        <v>0</v>
      </c>
      <c r="F304" s="72">
        <v>0.35</v>
      </c>
      <c r="G304" s="72">
        <v>0.32500000000000001</v>
      </c>
      <c r="H304" s="87"/>
      <c r="I304" s="87"/>
    </row>
    <row r="305" spans="3:9" x14ac:dyDescent="0.2">
      <c r="C305" s="72">
        <v>0.32500000000000001</v>
      </c>
      <c r="D305" s="72">
        <v>0</v>
      </c>
      <c r="E305" s="72">
        <v>0</v>
      </c>
      <c r="F305" s="72">
        <v>0.32500000000000001</v>
      </c>
      <c r="G305" s="72">
        <v>0.35</v>
      </c>
      <c r="H305" s="87"/>
      <c r="I305" s="87"/>
    </row>
    <row r="306" spans="3:9" x14ac:dyDescent="0.2">
      <c r="C306" s="72">
        <v>0.31666699999999998</v>
      </c>
      <c r="D306" s="72">
        <v>0.31666699999999998</v>
      </c>
      <c r="E306" s="72">
        <v>0.31666699999999998</v>
      </c>
      <c r="F306" s="72">
        <v>0.05</v>
      </c>
      <c r="G306" s="72">
        <v>0</v>
      </c>
      <c r="H306" s="87"/>
      <c r="I306" s="87"/>
    </row>
    <row r="307" spans="3:9" x14ac:dyDescent="0.2">
      <c r="C307" s="72">
        <v>0.31666699999999998</v>
      </c>
      <c r="D307" s="72">
        <v>0.31666699999999998</v>
      </c>
      <c r="E307" s="72">
        <v>0.31666699999999998</v>
      </c>
      <c r="F307" s="72">
        <v>0</v>
      </c>
      <c r="G307" s="72">
        <v>0.05</v>
      </c>
      <c r="H307" s="87"/>
      <c r="I307" s="87"/>
    </row>
    <row r="308" spans="3:9" x14ac:dyDescent="0.2">
      <c r="C308" s="72">
        <v>0.31666699999999998</v>
      </c>
      <c r="D308" s="72">
        <v>0.31666699999999998</v>
      </c>
      <c r="E308" s="72">
        <v>0.05</v>
      </c>
      <c r="F308" s="72">
        <v>0.31666699999999998</v>
      </c>
      <c r="G308" s="72">
        <v>0</v>
      </c>
      <c r="H308" s="87"/>
      <c r="I308" s="87"/>
    </row>
    <row r="309" spans="3:9" x14ac:dyDescent="0.2">
      <c r="C309" s="72">
        <v>0.31666699999999998</v>
      </c>
      <c r="D309" s="72">
        <v>0.31666699999999998</v>
      </c>
      <c r="E309" s="72">
        <v>0.05</v>
      </c>
      <c r="F309" s="72">
        <v>0</v>
      </c>
      <c r="G309" s="72">
        <v>0.31666699999999998</v>
      </c>
      <c r="H309" s="87"/>
      <c r="I309" s="87"/>
    </row>
    <row r="310" spans="3:9" x14ac:dyDescent="0.2">
      <c r="C310" s="72">
        <v>0.31666699999999998</v>
      </c>
      <c r="D310" s="72">
        <v>0.31666699999999998</v>
      </c>
      <c r="E310" s="72">
        <v>0</v>
      </c>
      <c r="F310" s="72">
        <v>0.31666699999999998</v>
      </c>
      <c r="G310" s="72">
        <v>0.05</v>
      </c>
      <c r="H310" s="87"/>
      <c r="I310" s="87"/>
    </row>
    <row r="311" spans="3:9" x14ac:dyDescent="0.2">
      <c r="C311" s="72">
        <v>0.31666699999999998</v>
      </c>
      <c r="D311" s="72">
        <v>0.31666699999999998</v>
      </c>
      <c r="E311" s="72">
        <v>0</v>
      </c>
      <c r="F311" s="72">
        <v>0.05</v>
      </c>
      <c r="G311" s="72">
        <v>0.31666699999999998</v>
      </c>
      <c r="H311" s="87"/>
      <c r="I311" s="87"/>
    </row>
    <row r="312" spans="3:9" x14ac:dyDescent="0.2">
      <c r="C312" s="72">
        <v>0.31666699999999998</v>
      </c>
      <c r="D312" s="72">
        <v>0.05</v>
      </c>
      <c r="E312" s="72">
        <v>0.31666699999999998</v>
      </c>
      <c r="F312" s="72">
        <v>0.31666699999999998</v>
      </c>
      <c r="G312" s="72">
        <v>0</v>
      </c>
      <c r="H312" s="87"/>
      <c r="I312" s="87"/>
    </row>
    <row r="313" spans="3:9" x14ac:dyDescent="0.2">
      <c r="C313" s="72">
        <v>0.31666699999999998</v>
      </c>
      <c r="D313" s="72">
        <v>0.05</v>
      </c>
      <c r="E313" s="72">
        <v>0.31666699999999998</v>
      </c>
      <c r="F313" s="72">
        <v>0</v>
      </c>
      <c r="G313" s="72">
        <v>0.31666699999999998</v>
      </c>
      <c r="H313" s="87"/>
      <c r="I313" s="87"/>
    </row>
    <row r="314" spans="3:9" x14ac:dyDescent="0.2">
      <c r="C314" s="72">
        <v>0.31666699999999998</v>
      </c>
      <c r="D314" s="72">
        <v>0.05</v>
      </c>
      <c r="E314" s="72">
        <v>0</v>
      </c>
      <c r="F314" s="72">
        <v>0.31666699999999998</v>
      </c>
      <c r="G314" s="72">
        <v>0.31666699999999998</v>
      </c>
      <c r="H314" s="87"/>
      <c r="I314" s="87"/>
    </row>
    <row r="315" spans="3:9" x14ac:dyDescent="0.2">
      <c r="C315" s="72">
        <v>0.31666699999999998</v>
      </c>
      <c r="D315" s="72">
        <v>0</v>
      </c>
      <c r="E315" s="72">
        <v>0.31666699999999998</v>
      </c>
      <c r="F315" s="72">
        <v>0.31666699999999998</v>
      </c>
      <c r="G315" s="72">
        <v>0.05</v>
      </c>
      <c r="H315" s="87"/>
      <c r="I315" s="87"/>
    </row>
    <row r="316" spans="3:9" x14ac:dyDescent="0.2">
      <c r="C316" s="72">
        <v>0.31666699999999998</v>
      </c>
      <c r="D316" s="72">
        <v>0</v>
      </c>
      <c r="E316" s="72">
        <v>0.31666699999999998</v>
      </c>
      <c r="F316" s="72">
        <v>0.05</v>
      </c>
      <c r="G316" s="72">
        <v>0.31666699999999998</v>
      </c>
      <c r="H316" s="87"/>
      <c r="I316" s="87"/>
    </row>
    <row r="317" spans="3:9" x14ac:dyDescent="0.2">
      <c r="C317" s="72">
        <v>0.31666699999999998</v>
      </c>
      <c r="D317" s="72">
        <v>0</v>
      </c>
      <c r="E317" s="72">
        <v>0.05</v>
      </c>
      <c r="F317" s="72">
        <v>0.31666699999999998</v>
      </c>
      <c r="G317" s="72">
        <v>0.31666699999999998</v>
      </c>
      <c r="H317" s="87"/>
      <c r="I317" s="87"/>
    </row>
    <row r="318" spans="3:9" x14ac:dyDescent="0.2">
      <c r="C318" s="72">
        <v>0.3</v>
      </c>
      <c r="D318" s="72">
        <v>0.7</v>
      </c>
      <c r="E318" s="72">
        <v>0</v>
      </c>
      <c r="F318" s="72">
        <v>0</v>
      </c>
      <c r="G318" s="72">
        <v>0</v>
      </c>
      <c r="H318" s="87"/>
      <c r="I318" s="87"/>
    </row>
    <row r="319" spans="3:9" x14ac:dyDescent="0.2">
      <c r="C319" s="72">
        <v>0.3</v>
      </c>
      <c r="D319" s="72">
        <v>0.4</v>
      </c>
      <c r="E319" s="72">
        <v>0.3</v>
      </c>
      <c r="F319" s="72">
        <v>0</v>
      </c>
      <c r="G319" s="72">
        <v>0</v>
      </c>
      <c r="H319" s="87"/>
      <c r="I319" s="87"/>
    </row>
    <row r="320" spans="3:9" x14ac:dyDescent="0.2">
      <c r="C320" s="72">
        <v>0.3</v>
      </c>
      <c r="D320" s="72">
        <v>0.4</v>
      </c>
      <c r="E320" s="72">
        <v>0</v>
      </c>
      <c r="F320" s="72">
        <v>0.3</v>
      </c>
      <c r="G320" s="72">
        <v>0</v>
      </c>
      <c r="H320" s="87"/>
      <c r="I320" s="87"/>
    </row>
    <row r="321" spans="3:9" x14ac:dyDescent="0.2">
      <c r="C321" s="72">
        <v>0.3</v>
      </c>
      <c r="D321" s="72">
        <v>0.4</v>
      </c>
      <c r="E321" s="72">
        <v>0</v>
      </c>
      <c r="F321" s="72">
        <v>0</v>
      </c>
      <c r="G321" s="72">
        <v>0.3</v>
      </c>
      <c r="H321" s="87"/>
      <c r="I321" s="87"/>
    </row>
    <row r="322" spans="3:9" x14ac:dyDescent="0.2">
      <c r="C322" s="72">
        <v>0.3</v>
      </c>
      <c r="D322" s="72">
        <v>0.35</v>
      </c>
      <c r="E322" s="72">
        <v>0.35</v>
      </c>
      <c r="F322" s="72">
        <v>0</v>
      </c>
      <c r="G322" s="72">
        <v>0</v>
      </c>
      <c r="H322" s="87"/>
      <c r="I322" s="87"/>
    </row>
    <row r="323" spans="3:9" x14ac:dyDescent="0.2">
      <c r="C323" s="72">
        <v>0.3</v>
      </c>
      <c r="D323" s="72">
        <v>0.35</v>
      </c>
      <c r="E323" s="72">
        <v>0</v>
      </c>
      <c r="F323" s="72">
        <v>0.35</v>
      </c>
      <c r="G323" s="72">
        <v>0</v>
      </c>
      <c r="H323" s="87"/>
      <c r="I323" s="87"/>
    </row>
    <row r="324" spans="3:9" x14ac:dyDescent="0.2">
      <c r="C324" s="72">
        <v>0.3</v>
      </c>
      <c r="D324" s="72">
        <v>0.35</v>
      </c>
      <c r="E324" s="72">
        <v>0</v>
      </c>
      <c r="F324" s="72">
        <v>0</v>
      </c>
      <c r="G324" s="72">
        <v>0.35</v>
      </c>
      <c r="H324" s="87"/>
      <c r="I324" s="87"/>
    </row>
    <row r="325" spans="3:9" x14ac:dyDescent="0.2">
      <c r="C325" s="72">
        <v>0.3</v>
      </c>
      <c r="D325" s="72">
        <v>0.3</v>
      </c>
      <c r="E325" s="72">
        <v>0.4</v>
      </c>
      <c r="F325" s="72">
        <v>0</v>
      </c>
      <c r="G325" s="72">
        <v>0</v>
      </c>
      <c r="H325" s="87"/>
      <c r="I325" s="87"/>
    </row>
    <row r="326" spans="3:9" x14ac:dyDescent="0.2">
      <c r="C326" s="72">
        <v>0.3</v>
      </c>
      <c r="D326" s="72">
        <v>0.3</v>
      </c>
      <c r="E326" s="72">
        <v>0.3</v>
      </c>
      <c r="F326" s="72">
        <v>0.1</v>
      </c>
      <c r="G326" s="72">
        <v>0</v>
      </c>
      <c r="H326" s="87"/>
      <c r="I326" s="87"/>
    </row>
    <row r="327" spans="3:9" x14ac:dyDescent="0.2">
      <c r="C327" s="72">
        <v>0.3</v>
      </c>
      <c r="D327" s="72">
        <v>0.3</v>
      </c>
      <c r="E327" s="72">
        <v>0.3</v>
      </c>
      <c r="F327" s="72">
        <v>0</v>
      </c>
      <c r="G327" s="72">
        <v>0.1</v>
      </c>
      <c r="H327" s="87"/>
      <c r="I327" s="87"/>
    </row>
    <row r="328" spans="3:9" x14ac:dyDescent="0.2">
      <c r="C328" s="72">
        <v>0.3</v>
      </c>
      <c r="D328" s="72">
        <v>0.3</v>
      </c>
      <c r="E328" s="72">
        <v>0.1</v>
      </c>
      <c r="F328" s="72">
        <v>0.3</v>
      </c>
      <c r="G328" s="72">
        <v>0</v>
      </c>
      <c r="H328" s="87"/>
      <c r="I328" s="87"/>
    </row>
    <row r="329" spans="3:9" x14ac:dyDescent="0.2">
      <c r="C329" s="72">
        <v>0.3</v>
      </c>
      <c r="D329" s="72">
        <v>0.3</v>
      </c>
      <c r="E329" s="72">
        <v>0.1</v>
      </c>
      <c r="F329" s="72">
        <v>0</v>
      </c>
      <c r="G329" s="72">
        <v>0.3</v>
      </c>
      <c r="H329" s="87"/>
      <c r="I329" s="87"/>
    </row>
    <row r="330" spans="3:9" x14ac:dyDescent="0.2">
      <c r="C330" s="72">
        <v>0.3</v>
      </c>
      <c r="D330" s="72">
        <v>0.3</v>
      </c>
      <c r="E330" s="72">
        <v>0</v>
      </c>
      <c r="F330" s="72">
        <v>0.4</v>
      </c>
      <c r="G330" s="72">
        <v>0</v>
      </c>
      <c r="H330" s="87"/>
      <c r="I330" s="87"/>
    </row>
    <row r="331" spans="3:9" x14ac:dyDescent="0.2">
      <c r="C331" s="72">
        <v>0.3</v>
      </c>
      <c r="D331" s="72">
        <v>0.3</v>
      </c>
      <c r="E331" s="72">
        <v>0</v>
      </c>
      <c r="F331" s="72">
        <v>0.3</v>
      </c>
      <c r="G331" s="72">
        <v>0.1</v>
      </c>
      <c r="H331" s="87"/>
      <c r="I331" s="87"/>
    </row>
    <row r="332" spans="3:9" x14ac:dyDescent="0.2">
      <c r="C332" s="72">
        <v>0.3</v>
      </c>
      <c r="D332" s="72">
        <v>0.3</v>
      </c>
      <c r="E332" s="72">
        <v>0</v>
      </c>
      <c r="F332" s="72">
        <v>0.1</v>
      </c>
      <c r="G332" s="72">
        <v>0.3</v>
      </c>
      <c r="H332" s="87"/>
      <c r="I332" s="87"/>
    </row>
    <row r="333" spans="3:9" x14ac:dyDescent="0.2">
      <c r="C333" s="72">
        <v>0.3</v>
      </c>
      <c r="D333" s="72">
        <v>0.3</v>
      </c>
      <c r="E333" s="72">
        <v>0</v>
      </c>
      <c r="F333" s="72">
        <v>0</v>
      </c>
      <c r="G333" s="72">
        <v>0.4</v>
      </c>
      <c r="H333" s="87"/>
      <c r="I333" s="87"/>
    </row>
    <row r="334" spans="3:9" x14ac:dyDescent="0.2">
      <c r="C334" s="72">
        <v>0.3</v>
      </c>
      <c r="D334" s="72">
        <v>0.23333300000000001</v>
      </c>
      <c r="E334" s="72">
        <v>0.23333300000000001</v>
      </c>
      <c r="F334" s="72">
        <v>0.23333300000000001</v>
      </c>
      <c r="G334" s="72">
        <v>0</v>
      </c>
      <c r="H334" s="87"/>
      <c r="I334" s="87"/>
    </row>
    <row r="335" spans="3:9" x14ac:dyDescent="0.2">
      <c r="C335" s="72">
        <v>0.3</v>
      </c>
      <c r="D335" s="72">
        <v>0.23333300000000001</v>
      </c>
      <c r="E335" s="72">
        <v>0.23333300000000001</v>
      </c>
      <c r="F335" s="72">
        <v>0</v>
      </c>
      <c r="G335" s="72">
        <v>0.23333300000000001</v>
      </c>
      <c r="H335" s="87"/>
      <c r="I335" s="87"/>
    </row>
    <row r="336" spans="3:9" x14ac:dyDescent="0.2">
      <c r="C336" s="72">
        <v>0.3</v>
      </c>
      <c r="D336" s="72">
        <v>0.23333300000000001</v>
      </c>
      <c r="E336" s="72">
        <v>0</v>
      </c>
      <c r="F336" s="72">
        <v>0.23333300000000001</v>
      </c>
      <c r="G336" s="72">
        <v>0.23333300000000001</v>
      </c>
      <c r="H336" s="87"/>
      <c r="I336" s="87"/>
    </row>
    <row r="337" spans="3:9" x14ac:dyDescent="0.2">
      <c r="C337" s="72">
        <v>0.3</v>
      </c>
      <c r="D337" s="72">
        <v>0.1</v>
      </c>
      <c r="E337" s="72">
        <v>0.3</v>
      </c>
      <c r="F337" s="72">
        <v>0.3</v>
      </c>
      <c r="G337" s="72">
        <v>0</v>
      </c>
      <c r="H337" s="87"/>
      <c r="I337" s="87"/>
    </row>
    <row r="338" spans="3:9" x14ac:dyDescent="0.2">
      <c r="C338" s="72">
        <v>0.3</v>
      </c>
      <c r="D338" s="72">
        <v>0.1</v>
      </c>
      <c r="E338" s="72">
        <v>0.3</v>
      </c>
      <c r="F338" s="72">
        <v>0</v>
      </c>
      <c r="G338" s="72">
        <v>0.3</v>
      </c>
      <c r="H338" s="87"/>
      <c r="I338" s="87"/>
    </row>
    <row r="339" spans="3:9" x14ac:dyDescent="0.2">
      <c r="C339" s="72">
        <v>0.3</v>
      </c>
      <c r="D339" s="72">
        <v>0.1</v>
      </c>
      <c r="E339" s="72">
        <v>0</v>
      </c>
      <c r="F339" s="72">
        <v>0.3</v>
      </c>
      <c r="G339" s="72">
        <v>0.3</v>
      </c>
      <c r="H339" s="87"/>
      <c r="I339" s="87"/>
    </row>
    <row r="340" spans="3:9" x14ac:dyDescent="0.2">
      <c r="C340" s="72">
        <v>0.3</v>
      </c>
      <c r="D340" s="72">
        <v>0</v>
      </c>
      <c r="E340" s="72">
        <v>0.7</v>
      </c>
      <c r="F340" s="72">
        <v>0</v>
      </c>
      <c r="G340" s="72">
        <v>0</v>
      </c>
      <c r="H340" s="87"/>
      <c r="I340" s="87"/>
    </row>
    <row r="341" spans="3:9" x14ac:dyDescent="0.2">
      <c r="C341" s="72">
        <v>0.3</v>
      </c>
      <c r="D341" s="72">
        <v>0</v>
      </c>
      <c r="E341" s="72">
        <v>0.4</v>
      </c>
      <c r="F341" s="72">
        <v>0.3</v>
      </c>
      <c r="G341" s="72">
        <v>0</v>
      </c>
      <c r="H341" s="87"/>
      <c r="I341" s="87"/>
    </row>
    <row r="342" spans="3:9" x14ac:dyDescent="0.2">
      <c r="C342" s="72">
        <v>0.3</v>
      </c>
      <c r="D342" s="72">
        <v>0</v>
      </c>
      <c r="E342" s="72">
        <v>0.4</v>
      </c>
      <c r="F342" s="72">
        <v>0</v>
      </c>
      <c r="G342" s="72">
        <v>0.3</v>
      </c>
      <c r="H342" s="87"/>
      <c r="I342" s="87"/>
    </row>
    <row r="343" spans="3:9" x14ac:dyDescent="0.2">
      <c r="C343" s="72">
        <v>0.3</v>
      </c>
      <c r="D343" s="72">
        <v>0</v>
      </c>
      <c r="E343" s="72">
        <v>0.35</v>
      </c>
      <c r="F343" s="72">
        <v>0.35</v>
      </c>
      <c r="G343" s="72">
        <v>0</v>
      </c>
      <c r="H343" s="87"/>
      <c r="I343" s="87"/>
    </row>
    <row r="344" spans="3:9" x14ac:dyDescent="0.2">
      <c r="C344" s="72">
        <v>0.3</v>
      </c>
      <c r="D344" s="72">
        <v>0</v>
      </c>
      <c r="E344" s="72">
        <v>0.35</v>
      </c>
      <c r="F344" s="72">
        <v>0</v>
      </c>
      <c r="G344" s="72">
        <v>0.35</v>
      </c>
      <c r="H344" s="87"/>
      <c r="I344" s="87"/>
    </row>
    <row r="345" spans="3:9" x14ac:dyDescent="0.2">
      <c r="C345" s="72">
        <v>0.3</v>
      </c>
      <c r="D345" s="72">
        <v>0</v>
      </c>
      <c r="E345" s="72">
        <v>0.3</v>
      </c>
      <c r="F345" s="72">
        <v>0.4</v>
      </c>
      <c r="G345" s="72">
        <v>0</v>
      </c>
      <c r="H345" s="87"/>
      <c r="I345" s="87"/>
    </row>
    <row r="346" spans="3:9" x14ac:dyDescent="0.2">
      <c r="C346" s="72">
        <v>0.3</v>
      </c>
      <c r="D346" s="72">
        <v>0</v>
      </c>
      <c r="E346" s="72">
        <v>0.3</v>
      </c>
      <c r="F346" s="72">
        <v>0.3</v>
      </c>
      <c r="G346" s="72">
        <v>0.1</v>
      </c>
      <c r="H346" s="87"/>
      <c r="I346" s="87"/>
    </row>
    <row r="347" spans="3:9" x14ac:dyDescent="0.2">
      <c r="C347" s="72">
        <v>0.3</v>
      </c>
      <c r="D347" s="72">
        <v>0</v>
      </c>
      <c r="E347" s="72">
        <v>0.3</v>
      </c>
      <c r="F347" s="72">
        <v>0.1</v>
      </c>
      <c r="G347" s="72">
        <v>0.3</v>
      </c>
      <c r="H347" s="87"/>
      <c r="I347" s="87"/>
    </row>
    <row r="348" spans="3:9" x14ac:dyDescent="0.2">
      <c r="C348" s="72">
        <v>0.3</v>
      </c>
      <c r="D348" s="72">
        <v>0</v>
      </c>
      <c r="E348" s="72">
        <v>0.3</v>
      </c>
      <c r="F348" s="72">
        <v>0</v>
      </c>
      <c r="G348" s="72">
        <v>0.4</v>
      </c>
      <c r="H348" s="87"/>
      <c r="I348" s="87"/>
    </row>
    <row r="349" spans="3:9" x14ac:dyDescent="0.2">
      <c r="C349" s="72">
        <v>0.3</v>
      </c>
      <c r="D349" s="72">
        <v>0</v>
      </c>
      <c r="E349" s="72">
        <v>0.23333300000000001</v>
      </c>
      <c r="F349" s="72">
        <v>0.23333300000000001</v>
      </c>
      <c r="G349" s="72">
        <v>0.23333300000000001</v>
      </c>
      <c r="H349" s="87"/>
      <c r="I349" s="87"/>
    </row>
    <row r="350" spans="3:9" x14ac:dyDescent="0.2">
      <c r="C350" s="72">
        <v>0.3</v>
      </c>
      <c r="D350" s="72">
        <v>0</v>
      </c>
      <c r="E350" s="72">
        <v>0.1</v>
      </c>
      <c r="F350" s="72">
        <v>0.3</v>
      </c>
      <c r="G350" s="72">
        <v>0.3</v>
      </c>
      <c r="H350" s="87"/>
      <c r="I350" s="87"/>
    </row>
    <row r="351" spans="3:9" x14ac:dyDescent="0.2">
      <c r="C351" s="72">
        <v>0.3</v>
      </c>
      <c r="D351" s="72">
        <v>0</v>
      </c>
      <c r="E351" s="72">
        <v>0</v>
      </c>
      <c r="F351" s="72">
        <v>0.7</v>
      </c>
      <c r="G351" s="72">
        <v>0</v>
      </c>
      <c r="H351" s="87"/>
      <c r="I351" s="87"/>
    </row>
    <row r="352" spans="3:9" x14ac:dyDescent="0.2">
      <c r="C352" s="72">
        <v>0.3</v>
      </c>
      <c r="D352" s="72">
        <v>0</v>
      </c>
      <c r="E352" s="72">
        <v>0</v>
      </c>
      <c r="F352" s="72">
        <v>0.4</v>
      </c>
      <c r="G352" s="72">
        <v>0.3</v>
      </c>
      <c r="H352" s="87"/>
      <c r="I352" s="87"/>
    </row>
    <row r="353" spans="3:9" x14ac:dyDescent="0.2">
      <c r="C353" s="72">
        <v>0.3</v>
      </c>
      <c r="D353" s="72">
        <v>0</v>
      </c>
      <c r="E353" s="72">
        <v>0</v>
      </c>
      <c r="F353" s="72">
        <v>0.35</v>
      </c>
      <c r="G353" s="72">
        <v>0.35</v>
      </c>
      <c r="H353" s="87"/>
      <c r="I353" s="87"/>
    </row>
    <row r="354" spans="3:9" x14ac:dyDescent="0.2">
      <c r="C354" s="72">
        <v>0.3</v>
      </c>
      <c r="D354" s="72">
        <v>0</v>
      </c>
      <c r="E354" s="72">
        <v>0</v>
      </c>
      <c r="F354" s="72">
        <v>0.3</v>
      </c>
      <c r="G354" s="72">
        <v>0.4</v>
      </c>
      <c r="H354" s="87"/>
      <c r="I354" s="87"/>
    </row>
    <row r="355" spans="3:9" x14ac:dyDescent="0.2">
      <c r="C355" s="72">
        <v>0.3</v>
      </c>
      <c r="D355" s="72">
        <v>0</v>
      </c>
      <c r="E355" s="72">
        <v>0</v>
      </c>
      <c r="F355" s="72">
        <v>0</v>
      </c>
      <c r="G355" s="72">
        <v>0.7</v>
      </c>
      <c r="H355" s="87"/>
      <c r="I355" s="87"/>
    </row>
    <row r="356" spans="3:9" x14ac:dyDescent="0.2">
      <c r="C356" s="72">
        <v>0.283333</v>
      </c>
      <c r="D356" s="72">
        <v>0.283333</v>
      </c>
      <c r="E356" s="72">
        <v>0.283333</v>
      </c>
      <c r="F356" s="72">
        <v>0.15</v>
      </c>
      <c r="G356" s="72">
        <v>0</v>
      </c>
      <c r="H356" s="87"/>
      <c r="I356" s="87"/>
    </row>
    <row r="357" spans="3:9" x14ac:dyDescent="0.2">
      <c r="C357" s="72">
        <v>0.283333</v>
      </c>
      <c r="D357" s="72">
        <v>0.283333</v>
      </c>
      <c r="E357" s="72">
        <v>0.283333</v>
      </c>
      <c r="F357" s="72">
        <v>0</v>
      </c>
      <c r="G357" s="72">
        <v>0.15</v>
      </c>
      <c r="H357" s="87"/>
      <c r="I357" s="87"/>
    </row>
    <row r="358" spans="3:9" x14ac:dyDescent="0.2">
      <c r="C358" s="72">
        <v>0.283333</v>
      </c>
      <c r="D358" s="72">
        <v>0.283333</v>
      </c>
      <c r="E358" s="72">
        <v>0.15</v>
      </c>
      <c r="F358" s="72">
        <v>0.283333</v>
      </c>
      <c r="G358" s="72">
        <v>0</v>
      </c>
      <c r="H358" s="87"/>
      <c r="I358" s="87"/>
    </row>
    <row r="359" spans="3:9" x14ac:dyDescent="0.2">
      <c r="C359" s="72">
        <v>0.283333</v>
      </c>
      <c r="D359" s="72">
        <v>0.283333</v>
      </c>
      <c r="E359" s="72">
        <v>0.15</v>
      </c>
      <c r="F359" s="72">
        <v>0</v>
      </c>
      <c r="G359" s="72">
        <v>0.283333</v>
      </c>
      <c r="H359" s="87"/>
      <c r="I359" s="87"/>
    </row>
    <row r="360" spans="3:9" x14ac:dyDescent="0.2">
      <c r="C360" s="72">
        <v>0.283333</v>
      </c>
      <c r="D360" s="72">
        <v>0.283333</v>
      </c>
      <c r="E360" s="72">
        <v>0</v>
      </c>
      <c r="F360" s="72">
        <v>0.283333</v>
      </c>
      <c r="G360" s="72">
        <v>0.15</v>
      </c>
      <c r="H360" s="87"/>
      <c r="I360" s="87"/>
    </row>
    <row r="361" spans="3:9" x14ac:dyDescent="0.2">
      <c r="C361" s="72">
        <v>0.283333</v>
      </c>
      <c r="D361" s="72">
        <v>0.283333</v>
      </c>
      <c r="E361" s="72">
        <v>0</v>
      </c>
      <c r="F361" s="72">
        <v>0.15</v>
      </c>
      <c r="G361" s="72">
        <v>0.283333</v>
      </c>
      <c r="H361" s="87"/>
      <c r="I361" s="87"/>
    </row>
    <row r="362" spans="3:9" x14ac:dyDescent="0.2">
      <c r="C362" s="72">
        <v>0.283333</v>
      </c>
      <c r="D362" s="72">
        <v>0.15</v>
      </c>
      <c r="E362" s="72">
        <v>0.283333</v>
      </c>
      <c r="F362" s="72">
        <v>0.283333</v>
      </c>
      <c r="G362" s="72">
        <v>0</v>
      </c>
      <c r="H362" s="87"/>
      <c r="I362" s="87"/>
    </row>
    <row r="363" spans="3:9" x14ac:dyDescent="0.2">
      <c r="C363" s="72">
        <v>0.283333</v>
      </c>
      <c r="D363" s="72">
        <v>0.15</v>
      </c>
      <c r="E363" s="72">
        <v>0.283333</v>
      </c>
      <c r="F363" s="72">
        <v>0</v>
      </c>
      <c r="G363" s="72">
        <v>0.283333</v>
      </c>
      <c r="H363" s="87"/>
      <c r="I363" s="87"/>
    </row>
    <row r="364" spans="3:9" x14ac:dyDescent="0.2">
      <c r="C364" s="72">
        <v>0.283333</v>
      </c>
      <c r="D364" s="72">
        <v>0.15</v>
      </c>
      <c r="E364" s="72">
        <v>0</v>
      </c>
      <c r="F364" s="72">
        <v>0.283333</v>
      </c>
      <c r="G364" s="72">
        <v>0.283333</v>
      </c>
      <c r="H364" s="87"/>
      <c r="I364" s="87"/>
    </row>
    <row r="365" spans="3:9" x14ac:dyDescent="0.2">
      <c r="C365" s="72">
        <v>0.283333</v>
      </c>
      <c r="D365" s="72">
        <v>0</v>
      </c>
      <c r="E365" s="72">
        <v>0.283333</v>
      </c>
      <c r="F365" s="72">
        <v>0.283333</v>
      </c>
      <c r="G365" s="72">
        <v>0.15</v>
      </c>
      <c r="H365" s="87"/>
      <c r="I365" s="87"/>
    </row>
    <row r="366" spans="3:9" x14ac:dyDescent="0.2">
      <c r="C366" s="72">
        <v>0.283333</v>
      </c>
      <c r="D366" s="72">
        <v>0</v>
      </c>
      <c r="E366" s="72">
        <v>0.283333</v>
      </c>
      <c r="F366" s="72">
        <v>0.15</v>
      </c>
      <c r="G366" s="72">
        <v>0.283333</v>
      </c>
      <c r="H366" s="87"/>
      <c r="I366" s="87"/>
    </row>
    <row r="367" spans="3:9" x14ac:dyDescent="0.2">
      <c r="C367" s="72">
        <v>0.283333</v>
      </c>
      <c r="D367" s="72">
        <v>0</v>
      </c>
      <c r="E367" s="72">
        <v>0.15</v>
      </c>
      <c r="F367" s="72">
        <v>0.283333</v>
      </c>
      <c r="G367" s="72">
        <v>0.283333</v>
      </c>
      <c r="H367" s="87"/>
      <c r="I367" s="87"/>
    </row>
    <row r="368" spans="3:9" x14ac:dyDescent="0.2">
      <c r="C368" s="72">
        <v>0.27500000000000002</v>
      </c>
      <c r="D368" s="72">
        <v>0.45</v>
      </c>
      <c r="E368" s="72">
        <v>0.27500000000000002</v>
      </c>
      <c r="F368" s="72">
        <v>0</v>
      </c>
      <c r="G368" s="72">
        <v>0</v>
      </c>
      <c r="H368" s="87"/>
      <c r="I368" s="87"/>
    </row>
    <row r="369" spans="3:9" x14ac:dyDescent="0.2">
      <c r="C369" s="72">
        <v>0.27500000000000002</v>
      </c>
      <c r="D369" s="72">
        <v>0.45</v>
      </c>
      <c r="E369" s="72">
        <v>0</v>
      </c>
      <c r="F369" s="72">
        <v>0.27500000000000002</v>
      </c>
      <c r="G369" s="72">
        <v>0</v>
      </c>
      <c r="H369" s="87"/>
      <c r="I369" s="87"/>
    </row>
    <row r="370" spans="3:9" x14ac:dyDescent="0.2">
      <c r="C370" s="72">
        <v>0.27500000000000002</v>
      </c>
      <c r="D370" s="72">
        <v>0.45</v>
      </c>
      <c r="E370" s="72">
        <v>0</v>
      </c>
      <c r="F370" s="72">
        <v>0</v>
      </c>
      <c r="G370" s="72">
        <v>0.27500000000000002</v>
      </c>
      <c r="H370" s="87"/>
      <c r="I370" s="87"/>
    </row>
    <row r="371" spans="3:9" x14ac:dyDescent="0.2">
      <c r="C371" s="72">
        <v>0.27500000000000002</v>
      </c>
      <c r="D371" s="72">
        <v>0.27500000000000002</v>
      </c>
      <c r="E371" s="72">
        <v>0.45</v>
      </c>
      <c r="F371" s="72">
        <v>0</v>
      </c>
      <c r="G371" s="72">
        <v>0</v>
      </c>
      <c r="H371" s="87"/>
      <c r="I371" s="87"/>
    </row>
    <row r="372" spans="3:9" x14ac:dyDescent="0.2">
      <c r="C372" s="72">
        <v>0.27500000000000002</v>
      </c>
      <c r="D372" s="72">
        <v>0.27500000000000002</v>
      </c>
      <c r="E372" s="72">
        <v>0</v>
      </c>
      <c r="F372" s="72">
        <v>0.45</v>
      </c>
      <c r="G372" s="72">
        <v>0</v>
      </c>
      <c r="H372" s="87"/>
      <c r="I372" s="87"/>
    </row>
    <row r="373" spans="3:9" x14ac:dyDescent="0.2">
      <c r="C373" s="72">
        <v>0.27500000000000002</v>
      </c>
      <c r="D373" s="72">
        <v>0.27500000000000002</v>
      </c>
      <c r="E373" s="72">
        <v>0</v>
      </c>
      <c r="F373" s="72">
        <v>0</v>
      </c>
      <c r="G373" s="72">
        <v>0.45</v>
      </c>
      <c r="H373" s="87"/>
      <c r="I373" s="87"/>
    </row>
    <row r="374" spans="3:9" x14ac:dyDescent="0.2">
      <c r="C374" s="72">
        <v>0.27500000000000002</v>
      </c>
      <c r="D374" s="72">
        <v>0</v>
      </c>
      <c r="E374" s="72">
        <v>0.45</v>
      </c>
      <c r="F374" s="72">
        <v>0.27500000000000002</v>
      </c>
      <c r="G374" s="72">
        <v>0</v>
      </c>
      <c r="H374" s="87"/>
      <c r="I374" s="87"/>
    </row>
    <row r="375" spans="3:9" x14ac:dyDescent="0.2">
      <c r="C375" s="72">
        <v>0.27500000000000002</v>
      </c>
      <c r="D375" s="72">
        <v>0</v>
      </c>
      <c r="E375" s="72">
        <v>0.45</v>
      </c>
      <c r="F375" s="72">
        <v>0</v>
      </c>
      <c r="G375" s="72">
        <v>0.27500000000000002</v>
      </c>
      <c r="H375" s="87"/>
      <c r="I375" s="87"/>
    </row>
    <row r="376" spans="3:9" x14ac:dyDescent="0.2">
      <c r="C376" s="72">
        <v>0.27500000000000002</v>
      </c>
      <c r="D376" s="72">
        <v>0</v>
      </c>
      <c r="E376" s="72">
        <v>0.27500000000000002</v>
      </c>
      <c r="F376" s="72">
        <v>0.45</v>
      </c>
      <c r="G376" s="72">
        <v>0</v>
      </c>
      <c r="H376" s="87"/>
      <c r="I376" s="87"/>
    </row>
    <row r="377" spans="3:9" x14ac:dyDescent="0.2">
      <c r="C377" s="72">
        <v>0.27500000000000002</v>
      </c>
      <c r="D377" s="72">
        <v>0</v>
      </c>
      <c r="E377" s="72">
        <v>0.27500000000000002</v>
      </c>
      <c r="F377" s="72">
        <v>0</v>
      </c>
      <c r="G377" s="72">
        <v>0.45</v>
      </c>
      <c r="H377" s="87"/>
      <c r="I377" s="87"/>
    </row>
    <row r="378" spans="3:9" x14ac:dyDescent="0.2">
      <c r="C378" s="72">
        <v>0.27500000000000002</v>
      </c>
      <c r="D378" s="72">
        <v>0</v>
      </c>
      <c r="E378" s="72">
        <v>0</v>
      </c>
      <c r="F378" s="72">
        <v>0.45</v>
      </c>
      <c r="G378" s="72">
        <v>0.27500000000000002</v>
      </c>
      <c r="H378" s="87"/>
      <c r="I378" s="87"/>
    </row>
    <row r="379" spans="3:9" x14ac:dyDescent="0.2">
      <c r="C379" s="72">
        <v>0.27500000000000002</v>
      </c>
      <c r="D379" s="72">
        <v>0</v>
      </c>
      <c r="E379" s="72">
        <v>0</v>
      </c>
      <c r="F379" s="72">
        <v>0.27500000000000002</v>
      </c>
      <c r="G379" s="72">
        <v>0.45</v>
      </c>
      <c r="H379" s="87"/>
      <c r="I379" s="87"/>
    </row>
    <row r="380" spans="3:9" x14ac:dyDescent="0.2">
      <c r="C380" s="72">
        <v>0.26666699999999999</v>
      </c>
      <c r="D380" s="72">
        <v>0.26666699999999999</v>
      </c>
      <c r="E380" s="72">
        <v>0.26666699999999999</v>
      </c>
      <c r="F380" s="72">
        <v>0.2</v>
      </c>
      <c r="G380" s="72">
        <v>0</v>
      </c>
      <c r="H380" s="87"/>
      <c r="I380" s="87"/>
    </row>
    <row r="381" spans="3:9" x14ac:dyDescent="0.2">
      <c r="C381" s="72">
        <v>0.26666699999999999</v>
      </c>
      <c r="D381" s="72">
        <v>0.26666699999999999</v>
      </c>
      <c r="E381" s="72">
        <v>0.26666699999999999</v>
      </c>
      <c r="F381" s="72">
        <v>0</v>
      </c>
      <c r="G381" s="72">
        <v>0.2</v>
      </c>
      <c r="H381" s="87"/>
      <c r="I381" s="87"/>
    </row>
    <row r="382" spans="3:9" x14ac:dyDescent="0.2">
      <c r="C382" s="72">
        <v>0.26666699999999999</v>
      </c>
      <c r="D382" s="72">
        <v>0.26666699999999999</v>
      </c>
      <c r="E382" s="72">
        <v>0.2</v>
      </c>
      <c r="F382" s="72">
        <v>0.26666699999999999</v>
      </c>
      <c r="G382" s="72">
        <v>0</v>
      </c>
      <c r="H382" s="87"/>
      <c r="I382" s="87"/>
    </row>
    <row r="383" spans="3:9" x14ac:dyDescent="0.2">
      <c r="C383" s="72">
        <v>0.26666699999999999</v>
      </c>
      <c r="D383" s="72">
        <v>0.26666699999999999</v>
      </c>
      <c r="E383" s="72">
        <v>0.2</v>
      </c>
      <c r="F383" s="72">
        <v>0</v>
      </c>
      <c r="G383" s="72">
        <v>0.26666699999999999</v>
      </c>
      <c r="H383" s="87"/>
      <c r="I383" s="87"/>
    </row>
    <row r="384" spans="3:9" x14ac:dyDescent="0.2">
      <c r="C384" s="72">
        <v>0.26666699999999999</v>
      </c>
      <c r="D384" s="72">
        <v>0.26666699999999999</v>
      </c>
      <c r="E384" s="72">
        <v>0</v>
      </c>
      <c r="F384" s="72">
        <v>0.26666699999999999</v>
      </c>
      <c r="G384" s="72">
        <v>0.2</v>
      </c>
      <c r="H384" s="87"/>
      <c r="I384" s="87"/>
    </row>
    <row r="385" spans="3:9" x14ac:dyDescent="0.2">
      <c r="C385" s="72">
        <v>0.26666699999999999</v>
      </c>
      <c r="D385" s="72">
        <v>0.26666699999999999</v>
      </c>
      <c r="E385" s="72">
        <v>0</v>
      </c>
      <c r="F385" s="72">
        <v>0.2</v>
      </c>
      <c r="G385" s="72">
        <v>0.26666699999999999</v>
      </c>
      <c r="H385" s="87"/>
      <c r="I385" s="87"/>
    </row>
    <row r="386" spans="3:9" x14ac:dyDescent="0.2">
      <c r="C386" s="72">
        <v>0.26666699999999999</v>
      </c>
      <c r="D386" s="72">
        <v>0.2</v>
      </c>
      <c r="E386" s="72">
        <v>0.26666699999999999</v>
      </c>
      <c r="F386" s="72">
        <v>0.26666699999999999</v>
      </c>
      <c r="G386" s="72">
        <v>0</v>
      </c>
      <c r="H386" s="87"/>
      <c r="I386" s="87"/>
    </row>
    <row r="387" spans="3:9" x14ac:dyDescent="0.2">
      <c r="C387" s="72">
        <v>0.26666699999999999</v>
      </c>
      <c r="D387" s="72">
        <v>0.2</v>
      </c>
      <c r="E387" s="72">
        <v>0.26666699999999999</v>
      </c>
      <c r="F387" s="72">
        <v>0</v>
      </c>
      <c r="G387" s="72">
        <v>0.26666699999999999</v>
      </c>
      <c r="H387" s="87"/>
      <c r="I387" s="87"/>
    </row>
    <row r="388" spans="3:9" x14ac:dyDescent="0.2">
      <c r="C388" s="72">
        <v>0.26666699999999999</v>
      </c>
      <c r="D388" s="72">
        <v>0.2</v>
      </c>
      <c r="E388" s="72">
        <v>0</v>
      </c>
      <c r="F388" s="72">
        <v>0.26666699999999999</v>
      </c>
      <c r="G388" s="72">
        <v>0.26666699999999999</v>
      </c>
      <c r="H388" s="87"/>
      <c r="I388" s="87"/>
    </row>
    <row r="389" spans="3:9" x14ac:dyDescent="0.2">
      <c r="C389" s="72">
        <v>0.26666699999999999</v>
      </c>
      <c r="D389" s="72">
        <v>0</v>
      </c>
      <c r="E389" s="72">
        <v>0.26666699999999999</v>
      </c>
      <c r="F389" s="72">
        <v>0.26666699999999999</v>
      </c>
      <c r="G389" s="72">
        <v>0.2</v>
      </c>
      <c r="H389" s="87"/>
      <c r="I389" s="87"/>
    </row>
    <row r="390" spans="3:9" x14ac:dyDescent="0.2">
      <c r="C390" s="72">
        <v>0.26666699999999999</v>
      </c>
      <c r="D390" s="72">
        <v>0</v>
      </c>
      <c r="E390" s="72">
        <v>0.26666699999999999</v>
      </c>
      <c r="F390" s="72">
        <v>0.2</v>
      </c>
      <c r="G390" s="72">
        <v>0.26666699999999999</v>
      </c>
      <c r="H390" s="87"/>
      <c r="I390" s="87"/>
    </row>
    <row r="391" spans="3:9" x14ac:dyDescent="0.2">
      <c r="C391" s="72">
        <v>0.26666699999999999</v>
      </c>
      <c r="D391" s="72">
        <v>0</v>
      </c>
      <c r="E391" s="72">
        <v>0.2</v>
      </c>
      <c r="F391" s="72">
        <v>0.26666699999999999</v>
      </c>
      <c r="G391" s="72">
        <v>0.26666699999999999</v>
      </c>
      <c r="H391" s="87"/>
      <c r="I391" s="87"/>
    </row>
    <row r="392" spans="3:9" x14ac:dyDescent="0.2">
      <c r="C392" s="72">
        <v>0.25</v>
      </c>
      <c r="D392" s="72">
        <v>0.75</v>
      </c>
      <c r="E392" s="72">
        <v>0</v>
      </c>
      <c r="F392" s="72">
        <v>0</v>
      </c>
      <c r="G392" s="72">
        <v>0</v>
      </c>
      <c r="H392" s="87"/>
      <c r="I392" s="87"/>
    </row>
    <row r="393" spans="3:9" x14ac:dyDescent="0.2">
      <c r="C393" s="72">
        <v>0.25</v>
      </c>
      <c r="D393" s="72">
        <v>0.5</v>
      </c>
      <c r="E393" s="72">
        <v>0.25</v>
      </c>
      <c r="F393" s="72">
        <v>0</v>
      </c>
      <c r="G393" s="72">
        <v>0</v>
      </c>
      <c r="H393" s="87"/>
      <c r="I393" s="87"/>
    </row>
    <row r="394" spans="3:9" x14ac:dyDescent="0.2">
      <c r="C394" s="72">
        <v>0.25</v>
      </c>
      <c r="D394" s="72">
        <v>0.5</v>
      </c>
      <c r="E394" s="72">
        <v>0</v>
      </c>
      <c r="F394" s="72">
        <v>0.25</v>
      </c>
      <c r="G394" s="72">
        <v>0</v>
      </c>
      <c r="H394" s="87"/>
      <c r="I394" s="87"/>
    </row>
    <row r="395" spans="3:9" x14ac:dyDescent="0.2">
      <c r="C395" s="72">
        <v>0.25</v>
      </c>
      <c r="D395" s="72">
        <v>0.5</v>
      </c>
      <c r="E395" s="72">
        <v>0</v>
      </c>
      <c r="F395" s="72">
        <v>0</v>
      </c>
      <c r="G395" s="72">
        <v>0.25</v>
      </c>
      <c r="H395" s="87"/>
      <c r="I395" s="87"/>
    </row>
    <row r="396" spans="3:9" x14ac:dyDescent="0.2">
      <c r="C396" s="72">
        <v>0.25</v>
      </c>
      <c r="D396" s="72">
        <v>0.375</v>
      </c>
      <c r="E396" s="72">
        <v>0.375</v>
      </c>
      <c r="F396" s="72">
        <v>0</v>
      </c>
      <c r="G396" s="72">
        <v>0</v>
      </c>
      <c r="H396" s="87"/>
      <c r="I396" s="87"/>
    </row>
    <row r="397" spans="3:9" x14ac:dyDescent="0.2">
      <c r="C397" s="72">
        <v>0.25</v>
      </c>
      <c r="D397" s="72">
        <v>0.375</v>
      </c>
      <c r="E397" s="72">
        <v>0</v>
      </c>
      <c r="F397" s="72">
        <v>0.375</v>
      </c>
      <c r="G397" s="72">
        <v>0</v>
      </c>
      <c r="H397" s="87"/>
      <c r="I397" s="87"/>
    </row>
    <row r="398" spans="3:9" x14ac:dyDescent="0.2">
      <c r="C398" s="72">
        <v>0.25</v>
      </c>
      <c r="D398" s="72">
        <v>0.375</v>
      </c>
      <c r="E398" s="72">
        <v>0</v>
      </c>
      <c r="F398" s="72">
        <v>0</v>
      </c>
      <c r="G398" s="72">
        <v>0.375</v>
      </c>
      <c r="H398" s="87"/>
      <c r="I398" s="87"/>
    </row>
    <row r="399" spans="3:9" x14ac:dyDescent="0.2">
      <c r="C399" s="72">
        <v>0.25</v>
      </c>
      <c r="D399" s="72">
        <v>0.25</v>
      </c>
      <c r="E399" s="72">
        <v>0.5</v>
      </c>
      <c r="F399" s="72">
        <v>0</v>
      </c>
      <c r="G399" s="72">
        <v>0</v>
      </c>
      <c r="H399" s="87"/>
      <c r="I399" s="87"/>
    </row>
    <row r="400" spans="3:9" x14ac:dyDescent="0.2">
      <c r="C400" s="72">
        <v>0.25</v>
      </c>
      <c r="D400" s="72">
        <v>0.25</v>
      </c>
      <c r="E400" s="72">
        <v>0.25</v>
      </c>
      <c r="F400" s="72">
        <v>0.25</v>
      </c>
      <c r="G400" s="72">
        <v>0</v>
      </c>
      <c r="H400" s="87"/>
      <c r="I400" s="87"/>
    </row>
    <row r="401" spans="3:9" x14ac:dyDescent="0.2">
      <c r="C401" s="72">
        <v>0.25</v>
      </c>
      <c r="D401" s="72">
        <v>0.25</v>
      </c>
      <c r="E401" s="72">
        <v>0.25</v>
      </c>
      <c r="F401" s="72">
        <v>0</v>
      </c>
      <c r="G401" s="72">
        <v>0.25</v>
      </c>
      <c r="H401" s="87"/>
      <c r="I401" s="87"/>
    </row>
    <row r="402" spans="3:9" x14ac:dyDescent="0.2">
      <c r="C402" s="72">
        <v>0.25</v>
      </c>
      <c r="D402" s="72">
        <v>0.25</v>
      </c>
      <c r="E402" s="72">
        <v>0</v>
      </c>
      <c r="F402" s="72">
        <v>0.5</v>
      </c>
      <c r="G402" s="72">
        <v>0</v>
      </c>
      <c r="H402" s="87"/>
      <c r="I402" s="87"/>
    </row>
    <row r="403" spans="3:9" x14ac:dyDescent="0.2">
      <c r="C403" s="72">
        <v>0.25</v>
      </c>
      <c r="D403" s="72">
        <v>0.25</v>
      </c>
      <c r="E403" s="72">
        <v>0</v>
      </c>
      <c r="F403" s="72">
        <v>0.25</v>
      </c>
      <c r="G403" s="72">
        <v>0.25</v>
      </c>
      <c r="H403" s="87"/>
      <c r="I403" s="87"/>
    </row>
    <row r="404" spans="3:9" x14ac:dyDescent="0.2">
      <c r="C404" s="72">
        <v>0.25</v>
      </c>
      <c r="D404" s="72">
        <v>0.25</v>
      </c>
      <c r="E404" s="72">
        <v>0</v>
      </c>
      <c r="F404" s="72">
        <v>0</v>
      </c>
      <c r="G404" s="72">
        <v>0.5</v>
      </c>
      <c r="H404" s="87"/>
      <c r="I404" s="87"/>
    </row>
    <row r="405" spans="3:9" x14ac:dyDescent="0.2">
      <c r="C405" s="72">
        <v>0.25</v>
      </c>
      <c r="D405" s="72">
        <v>0</v>
      </c>
      <c r="E405" s="72">
        <v>0.75</v>
      </c>
      <c r="F405" s="72">
        <v>0</v>
      </c>
      <c r="G405" s="72">
        <v>0</v>
      </c>
      <c r="H405" s="87"/>
      <c r="I405" s="87"/>
    </row>
    <row r="406" spans="3:9" x14ac:dyDescent="0.2">
      <c r="C406" s="72">
        <v>0.25</v>
      </c>
      <c r="D406" s="72">
        <v>0</v>
      </c>
      <c r="E406" s="72">
        <v>0.5</v>
      </c>
      <c r="F406" s="72">
        <v>0.25</v>
      </c>
      <c r="G406" s="72">
        <v>0</v>
      </c>
      <c r="H406" s="87"/>
      <c r="I406" s="87"/>
    </row>
    <row r="407" spans="3:9" x14ac:dyDescent="0.2">
      <c r="C407" s="72">
        <v>0.25</v>
      </c>
      <c r="D407" s="72">
        <v>0</v>
      </c>
      <c r="E407" s="72">
        <v>0.5</v>
      </c>
      <c r="F407" s="72">
        <v>0</v>
      </c>
      <c r="G407" s="72">
        <v>0.25</v>
      </c>
      <c r="H407" s="87"/>
      <c r="I407" s="87"/>
    </row>
    <row r="408" spans="3:9" x14ac:dyDescent="0.2">
      <c r="C408" s="72">
        <v>0.25</v>
      </c>
      <c r="D408" s="72">
        <v>0</v>
      </c>
      <c r="E408" s="72">
        <v>0.375</v>
      </c>
      <c r="F408" s="72">
        <v>0.375</v>
      </c>
      <c r="G408" s="72">
        <v>0</v>
      </c>
      <c r="H408" s="87"/>
      <c r="I408" s="87"/>
    </row>
    <row r="409" spans="3:9" x14ac:dyDescent="0.2">
      <c r="C409" s="72">
        <v>0.25</v>
      </c>
      <c r="D409" s="72">
        <v>0</v>
      </c>
      <c r="E409" s="72">
        <v>0.375</v>
      </c>
      <c r="F409" s="72">
        <v>0</v>
      </c>
      <c r="G409" s="72">
        <v>0.375</v>
      </c>
      <c r="H409" s="87"/>
      <c r="I409" s="87"/>
    </row>
    <row r="410" spans="3:9" x14ac:dyDescent="0.2">
      <c r="C410" s="72">
        <v>0.25</v>
      </c>
      <c r="D410" s="72">
        <v>0</v>
      </c>
      <c r="E410" s="72">
        <v>0.25</v>
      </c>
      <c r="F410" s="72">
        <v>0.5</v>
      </c>
      <c r="G410" s="72">
        <v>0</v>
      </c>
      <c r="H410" s="87"/>
      <c r="I410" s="87"/>
    </row>
    <row r="411" spans="3:9" x14ac:dyDescent="0.2">
      <c r="C411" s="72">
        <v>0.25</v>
      </c>
      <c r="D411" s="72">
        <v>0</v>
      </c>
      <c r="E411" s="72">
        <v>0.25</v>
      </c>
      <c r="F411" s="72">
        <v>0.25</v>
      </c>
      <c r="G411" s="72">
        <v>0.25</v>
      </c>
      <c r="H411" s="87"/>
      <c r="I411" s="87"/>
    </row>
    <row r="412" spans="3:9" x14ac:dyDescent="0.2">
      <c r="C412" s="72">
        <v>0.25</v>
      </c>
      <c r="D412" s="72">
        <v>0</v>
      </c>
      <c r="E412" s="72">
        <v>0.25</v>
      </c>
      <c r="F412" s="72">
        <v>0</v>
      </c>
      <c r="G412" s="72">
        <v>0.5</v>
      </c>
      <c r="H412" s="87"/>
      <c r="I412" s="87"/>
    </row>
    <row r="413" spans="3:9" x14ac:dyDescent="0.2">
      <c r="C413" s="72">
        <v>0.25</v>
      </c>
      <c r="D413" s="72">
        <v>0</v>
      </c>
      <c r="E413" s="72">
        <v>0</v>
      </c>
      <c r="F413" s="72">
        <v>0.75</v>
      </c>
      <c r="G413" s="72">
        <v>0</v>
      </c>
      <c r="H413" s="87"/>
      <c r="I413" s="87"/>
    </row>
    <row r="414" spans="3:9" x14ac:dyDescent="0.2">
      <c r="C414" s="72">
        <v>0.25</v>
      </c>
      <c r="D414" s="72">
        <v>0</v>
      </c>
      <c r="E414" s="72">
        <v>0</v>
      </c>
      <c r="F414" s="72">
        <v>0.5</v>
      </c>
      <c r="G414" s="72">
        <v>0.25</v>
      </c>
      <c r="H414" s="87"/>
      <c r="I414" s="87"/>
    </row>
    <row r="415" spans="3:9" x14ac:dyDescent="0.2">
      <c r="C415" s="72">
        <v>0.25</v>
      </c>
      <c r="D415" s="72">
        <v>0</v>
      </c>
      <c r="E415" s="72">
        <v>0</v>
      </c>
      <c r="F415" s="72">
        <v>0.375</v>
      </c>
      <c r="G415" s="72">
        <v>0.375</v>
      </c>
      <c r="H415" s="87"/>
      <c r="I415" s="87"/>
    </row>
    <row r="416" spans="3:9" x14ac:dyDescent="0.2">
      <c r="C416" s="72">
        <v>0.25</v>
      </c>
      <c r="D416" s="72">
        <v>0</v>
      </c>
      <c r="E416" s="72">
        <v>0</v>
      </c>
      <c r="F416" s="72">
        <v>0.25</v>
      </c>
      <c r="G416" s="72">
        <v>0.5</v>
      </c>
      <c r="H416" s="87"/>
      <c r="I416" s="87"/>
    </row>
    <row r="417" spans="3:9" x14ac:dyDescent="0.2">
      <c r="C417" s="72">
        <v>0.25</v>
      </c>
      <c r="D417" s="72">
        <v>0</v>
      </c>
      <c r="E417" s="72">
        <v>0</v>
      </c>
      <c r="F417" s="72">
        <v>0</v>
      </c>
      <c r="G417" s="72">
        <v>0.75</v>
      </c>
      <c r="H417" s="87"/>
      <c r="I417" s="87"/>
    </row>
    <row r="418" spans="3:9" x14ac:dyDescent="0.2">
      <c r="C418" s="72">
        <v>0.23333300000000001</v>
      </c>
      <c r="D418" s="72">
        <v>0.3</v>
      </c>
      <c r="E418" s="72">
        <v>0.23333300000000001</v>
      </c>
      <c r="F418" s="72">
        <v>0.23333300000000001</v>
      </c>
      <c r="G418" s="72">
        <v>0</v>
      </c>
      <c r="H418" s="87"/>
      <c r="I418" s="87"/>
    </row>
    <row r="419" spans="3:9" x14ac:dyDescent="0.2">
      <c r="C419" s="72">
        <v>0.23333300000000001</v>
      </c>
      <c r="D419" s="72">
        <v>0.3</v>
      </c>
      <c r="E419" s="72">
        <v>0.23333300000000001</v>
      </c>
      <c r="F419" s="72">
        <v>0</v>
      </c>
      <c r="G419" s="72">
        <v>0.23333300000000001</v>
      </c>
      <c r="H419" s="87"/>
      <c r="I419" s="87"/>
    </row>
    <row r="420" spans="3:9" x14ac:dyDescent="0.2">
      <c r="C420" s="72">
        <v>0.23333300000000001</v>
      </c>
      <c r="D420" s="72">
        <v>0.3</v>
      </c>
      <c r="E420" s="72">
        <v>0</v>
      </c>
      <c r="F420" s="72">
        <v>0.23333300000000001</v>
      </c>
      <c r="G420" s="72">
        <v>0.23333300000000001</v>
      </c>
      <c r="H420" s="87"/>
      <c r="I420" s="87"/>
    </row>
    <row r="421" spans="3:9" x14ac:dyDescent="0.2">
      <c r="C421" s="72">
        <v>0.23333300000000001</v>
      </c>
      <c r="D421" s="72">
        <v>0.23333300000000001</v>
      </c>
      <c r="E421" s="72">
        <v>0.3</v>
      </c>
      <c r="F421" s="72">
        <v>0.23333300000000001</v>
      </c>
      <c r="G421" s="72">
        <v>0</v>
      </c>
      <c r="H421" s="87"/>
      <c r="I421" s="87"/>
    </row>
    <row r="422" spans="3:9" x14ac:dyDescent="0.2">
      <c r="C422" s="72">
        <v>0.23333300000000001</v>
      </c>
      <c r="D422" s="72">
        <v>0.23333300000000001</v>
      </c>
      <c r="E422" s="72">
        <v>0.3</v>
      </c>
      <c r="F422" s="72">
        <v>0</v>
      </c>
      <c r="G422" s="72">
        <v>0.23333300000000001</v>
      </c>
      <c r="H422" s="87"/>
      <c r="I422" s="87"/>
    </row>
    <row r="423" spans="3:9" x14ac:dyDescent="0.2">
      <c r="C423" s="72">
        <v>0.23333300000000001</v>
      </c>
      <c r="D423" s="72">
        <v>0.23333300000000001</v>
      </c>
      <c r="E423" s="72">
        <v>0.23333300000000001</v>
      </c>
      <c r="F423" s="72">
        <v>0.3</v>
      </c>
      <c r="G423" s="72">
        <v>0</v>
      </c>
      <c r="H423" s="87"/>
      <c r="I423" s="87"/>
    </row>
    <row r="424" spans="3:9" x14ac:dyDescent="0.2">
      <c r="C424" s="72">
        <v>0.23333300000000001</v>
      </c>
      <c r="D424" s="72">
        <v>0.23333300000000001</v>
      </c>
      <c r="E424" s="72">
        <v>0.23333300000000001</v>
      </c>
      <c r="F424" s="72">
        <v>0</v>
      </c>
      <c r="G424" s="72">
        <v>0.3</v>
      </c>
      <c r="H424" s="87"/>
      <c r="I424" s="87"/>
    </row>
    <row r="425" spans="3:9" x14ac:dyDescent="0.2">
      <c r="C425" s="72">
        <v>0.23333300000000001</v>
      </c>
      <c r="D425" s="72">
        <v>0.23333300000000001</v>
      </c>
      <c r="E425" s="72">
        <v>0</v>
      </c>
      <c r="F425" s="72">
        <v>0.3</v>
      </c>
      <c r="G425" s="72">
        <v>0.23333300000000001</v>
      </c>
      <c r="H425" s="87"/>
      <c r="I425" s="87"/>
    </row>
    <row r="426" spans="3:9" x14ac:dyDescent="0.2">
      <c r="C426" s="72">
        <v>0.23333300000000001</v>
      </c>
      <c r="D426" s="72">
        <v>0.23333300000000001</v>
      </c>
      <c r="E426" s="72">
        <v>0</v>
      </c>
      <c r="F426" s="72">
        <v>0.23333300000000001</v>
      </c>
      <c r="G426" s="72">
        <v>0.3</v>
      </c>
      <c r="H426" s="87"/>
      <c r="I426" s="87"/>
    </row>
    <row r="427" spans="3:9" x14ac:dyDescent="0.2">
      <c r="C427" s="72">
        <v>0.23333300000000001</v>
      </c>
      <c r="D427" s="72">
        <v>0</v>
      </c>
      <c r="E427" s="72">
        <v>0.3</v>
      </c>
      <c r="F427" s="72">
        <v>0.23333300000000001</v>
      </c>
      <c r="G427" s="72">
        <v>0.23333300000000001</v>
      </c>
      <c r="H427" s="87"/>
      <c r="I427" s="87"/>
    </row>
    <row r="428" spans="3:9" x14ac:dyDescent="0.2">
      <c r="C428" s="72">
        <v>0.23333300000000001</v>
      </c>
      <c r="D428" s="72">
        <v>0</v>
      </c>
      <c r="E428" s="72">
        <v>0.23333300000000001</v>
      </c>
      <c r="F428" s="72">
        <v>0.3</v>
      </c>
      <c r="G428" s="72">
        <v>0.23333300000000001</v>
      </c>
      <c r="H428" s="87"/>
      <c r="I428" s="87"/>
    </row>
    <row r="429" spans="3:9" x14ac:dyDescent="0.2">
      <c r="C429" s="72">
        <v>0.23333300000000001</v>
      </c>
      <c r="D429" s="72">
        <v>0</v>
      </c>
      <c r="E429" s="72">
        <v>0.23333300000000001</v>
      </c>
      <c r="F429" s="72">
        <v>0.23333300000000001</v>
      </c>
      <c r="G429" s="72">
        <v>0.3</v>
      </c>
      <c r="H429" s="87"/>
      <c r="I429" s="87"/>
    </row>
    <row r="430" spans="3:9" x14ac:dyDescent="0.2">
      <c r="C430" s="72">
        <v>0.22500000000000001</v>
      </c>
      <c r="D430" s="72">
        <v>0.55000000000000004</v>
      </c>
      <c r="E430" s="72">
        <v>0.22500000000000001</v>
      </c>
      <c r="F430" s="72">
        <v>0</v>
      </c>
      <c r="G430" s="72">
        <v>0</v>
      </c>
      <c r="H430" s="87"/>
      <c r="I430" s="87"/>
    </row>
    <row r="431" spans="3:9" x14ac:dyDescent="0.2">
      <c r="C431" s="72">
        <v>0.22500000000000001</v>
      </c>
      <c r="D431" s="72">
        <v>0.55000000000000004</v>
      </c>
      <c r="E431" s="72">
        <v>0</v>
      </c>
      <c r="F431" s="72">
        <v>0.22500000000000001</v>
      </c>
      <c r="G431" s="72">
        <v>0</v>
      </c>
      <c r="H431" s="87"/>
      <c r="I431" s="87"/>
    </row>
    <row r="432" spans="3:9" x14ac:dyDescent="0.2">
      <c r="C432" s="72">
        <v>0.22500000000000001</v>
      </c>
      <c r="D432" s="72">
        <v>0.55000000000000004</v>
      </c>
      <c r="E432" s="72">
        <v>0</v>
      </c>
      <c r="F432" s="72">
        <v>0</v>
      </c>
      <c r="G432" s="72">
        <v>0.22500000000000001</v>
      </c>
      <c r="H432" s="87"/>
      <c r="I432" s="87"/>
    </row>
    <row r="433" spans="3:9" x14ac:dyDescent="0.2">
      <c r="C433" s="72">
        <v>0.22500000000000001</v>
      </c>
      <c r="D433" s="72">
        <v>0.22500000000000001</v>
      </c>
      <c r="E433" s="72">
        <v>0.55000000000000004</v>
      </c>
      <c r="F433" s="72">
        <v>0</v>
      </c>
      <c r="G433" s="72">
        <v>0</v>
      </c>
      <c r="H433" s="87"/>
      <c r="I433" s="87"/>
    </row>
    <row r="434" spans="3:9" x14ac:dyDescent="0.2">
      <c r="C434" s="72">
        <v>0.22500000000000001</v>
      </c>
      <c r="D434" s="72">
        <v>0.22500000000000001</v>
      </c>
      <c r="E434" s="72">
        <v>0</v>
      </c>
      <c r="F434" s="72">
        <v>0.55000000000000004</v>
      </c>
      <c r="G434" s="72">
        <v>0</v>
      </c>
      <c r="H434" s="87"/>
      <c r="I434" s="87"/>
    </row>
    <row r="435" spans="3:9" x14ac:dyDescent="0.2">
      <c r="C435" s="72">
        <v>0.22500000000000001</v>
      </c>
      <c r="D435" s="72">
        <v>0.22500000000000001</v>
      </c>
      <c r="E435" s="72">
        <v>0</v>
      </c>
      <c r="F435" s="72">
        <v>0</v>
      </c>
      <c r="G435" s="72">
        <v>0.55000000000000004</v>
      </c>
      <c r="H435" s="87"/>
      <c r="I435" s="87"/>
    </row>
    <row r="436" spans="3:9" x14ac:dyDescent="0.2">
      <c r="C436" s="72">
        <v>0.22500000000000001</v>
      </c>
      <c r="D436" s="72">
        <v>0</v>
      </c>
      <c r="E436" s="72">
        <v>0.55000000000000004</v>
      </c>
      <c r="F436" s="72">
        <v>0.22500000000000001</v>
      </c>
      <c r="G436" s="72">
        <v>0</v>
      </c>
      <c r="H436" s="87"/>
      <c r="I436" s="87"/>
    </row>
    <row r="437" spans="3:9" x14ac:dyDescent="0.2">
      <c r="C437" s="72">
        <v>0.22500000000000001</v>
      </c>
      <c r="D437" s="72">
        <v>0</v>
      </c>
      <c r="E437" s="72">
        <v>0.55000000000000004</v>
      </c>
      <c r="F437" s="72">
        <v>0</v>
      </c>
      <c r="G437" s="72">
        <v>0.22500000000000001</v>
      </c>
      <c r="H437" s="87"/>
      <c r="I437" s="87"/>
    </row>
    <row r="438" spans="3:9" x14ac:dyDescent="0.2">
      <c r="C438" s="72">
        <v>0.22500000000000001</v>
      </c>
      <c r="D438" s="72">
        <v>0</v>
      </c>
      <c r="E438" s="72">
        <v>0.22500000000000001</v>
      </c>
      <c r="F438" s="72">
        <v>0.55000000000000004</v>
      </c>
      <c r="G438" s="72">
        <v>0</v>
      </c>
      <c r="H438" s="87"/>
      <c r="I438" s="87"/>
    </row>
    <row r="439" spans="3:9" x14ac:dyDescent="0.2">
      <c r="C439" s="72">
        <v>0.22500000000000001</v>
      </c>
      <c r="D439" s="72">
        <v>0</v>
      </c>
      <c r="E439" s="72">
        <v>0.22500000000000001</v>
      </c>
      <c r="F439" s="72">
        <v>0</v>
      </c>
      <c r="G439" s="72">
        <v>0.55000000000000004</v>
      </c>
      <c r="H439" s="87"/>
      <c r="I439" s="87"/>
    </row>
    <row r="440" spans="3:9" x14ac:dyDescent="0.2">
      <c r="C440" s="72">
        <v>0.22500000000000001</v>
      </c>
      <c r="D440" s="72">
        <v>0</v>
      </c>
      <c r="E440" s="72">
        <v>0</v>
      </c>
      <c r="F440" s="72">
        <v>0.55000000000000004</v>
      </c>
      <c r="G440" s="72">
        <v>0.22500000000000001</v>
      </c>
      <c r="H440" s="87"/>
      <c r="I440" s="87"/>
    </row>
    <row r="441" spans="3:9" x14ac:dyDescent="0.2">
      <c r="C441" s="72">
        <v>0.22500000000000001</v>
      </c>
      <c r="D441" s="72">
        <v>0</v>
      </c>
      <c r="E441" s="72">
        <v>0</v>
      </c>
      <c r="F441" s="72">
        <v>0.22500000000000001</v>
      </c>
      <c r="G441" s="72">
        <v>0.55000000000000004</v>
      </c>
      <c r="H441" s="87"/>
      <c r="I441" s="87"/>
    </row>
    <row r="442" spans="3:9" x14ac:dyDescent="0.2">
      <c r="C442" s="72">
        <v>0.216667</v>
      </c>
      <c r="D442" s="72">
        <v>0.35</v>
      </c>
      <c r="E442" s="72">
        <v>0.216667</v>
      </c>
      <c r="F442" s="72">
        <v>0.216667</v>
      </c>
      <c r="G442" s="72">
        <v>0</v>
      </c>
      <c r="H442" s="87"/>
      <c r="I442" s="87"/>
    </row>
    <row r="443" spans="3:9" x14ac:dyDescent="0.2">
      <c r="C443" s="72">
        <v>0.216667</v>
      </c>
      <c r="D443" s="72">
        <v>0.35</v>
      </c>
      <c r="E443" s="72">
        <v>0.216667</v>
      </c>
      <c r="F443" s="72">
        <v>0</v>
      </c>
      <c r="G443" s="72">
        <v>0.216667</v>
      </c>
      <c r="H443" s="87"/>
      <c r="I443" s="87"/>
    </row>
    <row r="444" spans="3:9" x14ac:dyDescent="0.2">
      <c r="C444" s="72">
        <v>0.216667</v>
      </c>
      <c r="D444" s="72">
        <v>0.35</v>
      </c>
      <c r="E444" s="72">
        <v>0</v>
      </c>
      <c r="F444" s="72">
        <v>0.216667</v>
      </c>
      <c r="G444" s="72">
        <v>0.216667</v>
      </c>
      <c r="H444" s="87"/>
      <c r="I444" s="87"/>
    </row>
    <row r="445" spans="3:9" x14ac:dyDescent="0.2">
      <c r="C445" s="72">
        <v>0.216667</v>
      </c>
      <c r="D445" s="72">
        <v>0.216667</v>
      </c>
      <c r="E445" s="72">
        <v>0.35</v>
      </c>
      <c r="F445" s="72">
        <v>0.216667</v>
      </c>
      <c r="G445" s="72">
        <v>0</v>
      </c>
      <c r="H445" s="87"/>
      <c r="I445" s="87"/>
    </row>
    <row r="446" spans="3:9" x14ac:dyDescent="0.2">
      <c r="C446" s="72">
        <v>0.216667</v>
      </c>
      <c r="D446" s="72">
        <v>0.216667</v>
      </c>
      <c r="E446" s="72">
        <v>0.35</v>
      </c>
      <c r="F446" s="72">
        <v>0</v>
      </c>
      <c r="G446" s="72">
        <v>0.216667</v>
      </c>
      <c r="H446" s="87"/>
      <c r="I446" s="87"/>
    </row>
    <row r="447" spans="3:9" x14ac:dyDescent="0.2">
      <c r="C447" s="72">
        <v>0.216667</v>
      </c>
      <c r="D447" s="72">
        <v>0.216667</v>
      </c>
      <c r="E447" s="72">
        <v>0.216667</v>
      </c>
      <c r="F447" s="72">
        <v>0.35</v>
      </c>
      <c r="G447" s="72">
        <v>0</v>
      </c>
      <c r="H447" s="87"/>
      <c r="I447" s="87"/>
    </row>
    <row r="448" spans="3:9" x14ac:dyDescent="0.2">
      <c r="C448" s="72">
        <v>0.216667</v>
      </c>
      <c r="D448" s="72">
        <v>0.216667</v>
      </c>
      <c r="E448" s="72">
        <v>0.216667</v>
      </c>
      <c r="F448" s="72">
        <v>0</v>
      </c>
      <c r="G448" s="72">
        <v>0.35</v>
      </c>
      <c r="H448" s="87"/>
      <c r="I448" s="87"/>
    </row>
    <row r="449" spans="3:9" x14ac:dyDescent="0.2">
      <c r="C449" s="72">
        <v>0.216667</v>
      </c>
      <c r="D449" s="72">
        <v>0.216667</v>
      </c>
      <c r="E449" s="72">
        <v>0</v>
      </c>
      <c r="F449" s="72">
        <v>0.35</v>
      </c>
      <c r="G449" s="72">
        <v>0.216667</v>
      </c>
      <c r="H449" s="87"/>
      <c r="I449" s="87"/>
    </row>
    <row r="450" spans="3:9" x14ac:dyDescent="0.2">
      <c r="C450" s="72">
        <v>0.216667</v>
      </c>
      <c r="D450" s="72">
        <v>0.216667</v>
      </c>
      <c r="E450" s="72">
        <v>0</v>
      </c>
      <c r="F450" s="72">
        <v>0.216667</v>
      </c>
      <c r="G450" s="72">
        <v>0.35</v>
      </c>
      <c r="H450" s="87"/>
      <c r="I450" s="87"/>
    </row>
    <row r="451" spans="3:9" x14ac:dyDescent="0.2">
      <c r="C451" s="72">
        <v>0.216667</v>
      </c>
      <c r="D451" s="72">
        <v>0</v>
      </c>
      <c r="E451" s="72">
        <v>0.35</v>
      </c>
      <c r="F451" s="72">
        <v>0.216667</v>
      </c>
      <c r="G451" s="72">
        <v>0.216667</v>
      </c>
      <c r="H451" s="87"/>
      <c r="I451" s="87"/>
    </row>
    <row r="452" spans="3:9" x14ac:dyDescent="0.2">
      <c r="C452" s="72">
        <v>0.216667</v>
      </c>
      <c r="D452" s="72">
        <v>0</v>
      </c>
      <c r="E452" s="72">
        <v>0.216667</v>
      </c>
      <c r="F452" s="72">
        <v>0.35</v>
      </c>
      <c r="G452" s="72">
        <v>0.216667</v>
      </c>
      <c r="H452" s="87"/>
      <c r="I452" s="87"/>
    </row>
    <row r="453" spans="3:9" x14ac:dyDescent="0.2">
      <c r="C453" s="72">
        <v>0.216667</v>
      </c>
      <c r="D453" s="72">
        <v>0</v>
      </c>
      <c r="E453" s="72">
        <v>0.216667</v>
      </c>
      <c r="F453" s="72">
        <v>0.216667</v>
      </c>
      <c r="G453" s="72">
        <v>0.35</v>
      </c>
      <c r="H453" s="87"/>
      <c r="I453" s="87"/>
    </row>
    <row r="454" spans="3:9" x14ac:dyDescent="0.2">
      <c r="C454" s="72">
        <v>0.2</v>
      </c>
      <c r="D454" s="72">
        <v>0.8</v>
      </c>
      <c r="E454" s="72">
        <v>0</v>
      </c>
      <c r="F454" s="72">
        <v>0</v>
      </c>
      <c r="G454" s="72">
        <v>0</v>
      </c>
      <c r="H454" s="87"/>
      <c r="I454" s="87"/>
    </row>
    <row r="455" spans="3:9" x14ac:dyDescent="0.2">
      <c r="C455" s="72">
        <v>0.2</v>
      </c>
      <c r="D455" s="72">
        <v>0.6</v>
      </c>
      <c r="E455" s="72">
        <v>0.2</v>
      </c>
      <c r="F455" s="72">
        <v>0</v>
      </c>
      <c r="G455" s="72">
        <v>0</v>
      </c>
      <c r="H455" s="87"/>
      <c r="I455" s="87"/>
    </row>
    <row r="456" spans="3:9" x14ac:dyDescent="0.2">
      <c r="C456" s="72">
        <v>0.2</v>
      </c>
      <c r="D456" s="72">
        <v>0.6</v>
      </c>
      <c r="E456" s="72">
        <v>0</v>
      </c>
      <c r="F456" s="72">
        <v>0.2</v>
      </c>
      <c r="G456" s="72">
        <v>0</v>
      </c>
      <c r="H456" s="87"/>
      <c r="I456" s="87"/>
    </row>
    <row r="457" spans="3:9" x14ac:dyDescent="0.2">
      <c r="C457" s="72">
        <v>0.2</v>
      </c>
      <c r="D457" s="72">
        <v>0.6</v>
      </c>
      <c r="E457" s="72">
        <v>0</v>
      </c>
      <c r="F457" s="72">
        <v>0</v>
      </c>
      <c r="G457" s="72">
        <v>0.2</v>
      </c>
      <c r="H457" s="87"/>
      <c r="I457" s="87"/>
    </row>
    <row r="458" spans="3:9" x14ac:dyDescent="0.2">
      <c r="C458" s="72">
        <v>0.2</v>
      </c>
      <c r="D458" s="72">
        <v>0.4</v>
      </c>
      <c r="E458" s="72">
        <v>0.4</v>
      </c>
      <c r="F458" s="72">
        <v>0</v>
      </c>
      <c r="G458" s="72">
        <v>0</v>
      </c>
      <c r="H458" s="87"/>
      <c r="I458" s="87"/>
    </row>
    <row r="459" spans="3:9" x14ac:dyDescent="0.2">
      <c r="C459" s="72">
        <v>0.2</v>
      </c>
      <c r="D459" s="72">
        <v>0.4</v>
      </c>
      <c r="E459" s="72">
        <v>0.2</v>
      </c>
      <c r="F459" s="72">
        <v>0.2</v>
      </c>
      <c r="G459" s="72">
        <v>0</v>
      </c>
      <c r="H459" s="87"/>
      <c r="I459" s="87"/>
    </row>
    <row r="460" spans="3:9" x14ac:dyDescent="0.2">
      <c r="C460" s="72">
        <v>0.2</v>
      </c>
      <c r="D460" s="72">
        <v>0.4</v>
      </c>
      <c r="E460" s="72">
        <v>0.2</v>
      </c>
      <c r="F460" s="72">
        <v>0</v>
      </c>
      <c r="G460" s="72">
        <v>0.2</v>
      </c>
      <c r="H460" s="87"/>
      <c r="I460" s="87"/>
    </row>
    <row r="461" spans="3:9" x14ac:dyDescent="0.2">
      <c r="C461" s="72">
        <v>0.2</v>
      </c>
      <c r="D461" s="72">
        <v>0.4</v>
      </c>
      <c r="E461" s="72">
        <v>0</v>
      </c>
      <c r="F461" s="72">
        <v>0.4</v>
      </c>
      <c r="G461" s="72">
        <v>0</v>
      </c>
      <c r="H461" s="87"/>
      <c r="I461" s="87"/>
    </row>
    <row r="462" spans="3:9" x14ac:dyDescent="0.2">
      <c r="C462" s="72">
        <v>0.2</v>
      </c>
      <c r="D462" s="72">
        <v>0.4</v>
      </c>
      <c r="E462" s="72">
        <v>0</v>
      </c>
      <c r="F462" s="72">
        <v>0.2</v>
      </c>
      <c r="G462" s="72">
        <v>0.2</v>
      </c>
      <c r="H462" s="87"/>
      <c r="I462" s="87"/>
    </row>
    <row r="463" spans="3:9" x14ac:dyDescent="0.2">
      <c r="C463" s="72">
        <v>0.2</v>
      </c>
      <c r="D463" s="72">
        <v>0.4</v>
      </c>
      <c r="E463" s="72">
        <v>0</v>
      </c>
      <c r="F463" s="72">
        <v>0</v>
      </c>
      <c r="G463" s="72">
        <v>0.4</v>
      </c>
      <c r="H463" s="87"/>
      <c r="I463" s="87"/>
    </row>
    <row r="464" spans="3:9" x14ac:dyDescent="0.2">
      <c r="C464" s="72">
        <v>0.2</v>
      </c>
      <c r="D464" s="72">
        <v>0.26666699999999999</v>
      </c>
      <c r="E464" s="72">
        <v>0.26666699999999999</v>
      </c>
      <c r="F464" s="72">
        <v>0.26666699999999999</v>
      </c>
      <c r="G464" s="72">
        <v>0</v>
      </c>
      <c r="H464" s="87"/>
      <c r="I464" s="87"/>
    </row>
    <row r="465" spans="3:9" x14ac:dyDescent="0.2">
      <c r="C465" s="72">
        <v>0.2</v>
      </c>
      <c r="D465" s="72">
        <v>0.26666699999999999</v>
      </c>
      <c r="E465" s="72">
        <v>0.26666699999999999</v>
      </c>
      <c r="F465" s="72">
        <v>0</v>
      </c>
      <c r="G465" s="72">
        <v>0.26666699999999999</v>
      </c>
      <c r="H465" s="87"/>
      <c r="I465" s="87"/>
    </row>
    <row r="466" spans="3:9" x14ac:dyDescent="0.2">
      <c r="C466" s="72">
        <v>0.2</v>
      </c>
      <c r="D466" s="72">
        <v>0.26666699999999999</v>
      </c>
      <c r="E466" s="72">
        <v>0</v>
      </c>
      <c r="F466" s="72">
        <v>0.26666699999999999</v>
      </c>
      <c r="G466" s="72">
        <v>0.26666699999999999</v>
      </c>
      <c r="H466" s="87"/>
      <c r="I466" s="87"/>
    </row>
    <row r="467" spans="3:9" x14ac:dyDescent="0.2">
      <c r="C467" s="72">
        <v>0.2</v>
      </c>
      <c r="D467" s="72">
        <v>0.2</v>
      </c>
      <c r="E467" s="72">
        <v>0.6</v>
      </c>
      <c r="F467" s="72">
        <v>0</v>
      </c>
      <c r="G467" s="72">
        <v>0</v>
      </c>
      <c r="H467" s="87"/>
      <c r="I467" s="87"/>
    </row>
    <row r="468" spans="3:9" x14ac:dyDescent="0.2">
      <c r="C468" s="72">
        <v>0.2</v>
      </c>
      <c r="D468" s="72">
        <v>0.2</v>
      </c>
      <c r="E468" s="72">
        <v>0.4</v>
      </c>
      <c r="F468" s="72">
        <v>0.2</v>
      </c>
      <c r="G468" s="72">
        <v>0</v>
      </c>
      <c r="H468" s="87"/>
      <c r="I468" s="87"/>
    </row>
    <row r="469" spans="3:9" x14ac:dyDescent="0.2">
      <c r="C469" s="72">
        <v>0.2</v>
      </c>
      <c r="D469" s="72">
        <v>0.2</v>
      </c>
      <c r="E469" s="72">
        <v>0.4</v>
      </c>
      <c r="F469" s="72">
        <v>0</v>
      </c>
      <c r="G469" s="72">
        <v>0.2</v>
      </c>
      <c r="H469" s="87"/>
      <c r="I469" s="87"/>
    </row>
    <row r="470" spans="3:9" x14ac:dyDescent="0.2">
      <c r="C470" s="72">
        <v>0.2</v>
      </c>
      <c r="D470" s="72">
        <v>0.2</v>
      </c>
      <c r="E470" s="72">
        <v>0.2</v>
      </c>
      <c r="F470" s="72">
        <v>0.4</v>
      </c>
      <c r="G470" s="72">
        <v>0</v>
      </c>
      <c r="H470" s="87"/>
      <c r="I470" s="87"/>
    </row>
    <row r="471" spans="3:9" x14ac:dyDescent="0.2">
      <c r="C471" s="72">
        <v>0.2</v>
      </c>
      <c r="D471" s="72">
        <v>0.2</v>
      </c>
      <c r="E471" s="72">
        <v>0.2</v>
      </c>
      <c r="F471" s="72">
        <v>0</v>
      </c>
      <c r="G471" s="72">
        <v>0.4</v>
      </c>
      <c r="H471" s="87"/>
      <c r="I471" s="87"/>
    </row>
    <row r="472" spans="3:9" x14ac:dyDescent="0.2">
      <c r="C472" s="72">
        <v>0.2</v>
      </c>
      <c r="D472" s="72">
        <v>0.2</v>
      </c>
      <c r="E472" s="72">
        <v>0</v>
      </c>
      <c r="F472" s="72">
        <v>0.6</v>
      </c>
      <c r="G472" s="72">
        <v>0</v>
      </c>
      <c r="H472" s="87"/>
      <c r="I472" s="87"/>
    </row>
    <row r="473" spans="3:9" x14ac:dyDescent="0.2">
      <c r="C473" s="72">
        <v>0.2</v>
      </c>
      <c r="D473" s="72">
        <v>0.2</v>
      </c>
      <c r="E473" s="72">
        <v>0</v>
      </c>
      <c r="F473" s="72">
        <v>0.4</v>
      </c>
      <c r="G473" s="72">
        <v>0.2</v>
      </c>
      <c r="H473" s="87"/>
      <c r="I473" s="87"/>
    </row>
    <row r="474" spans="3:9" x14ac:dyDescent="0.2">
      <c r="C474" s="72">
        <v>0.2</v>
      </c>
      <c r="D474" s="72">
        <v>0.2</v>
      </c>
      <c r="E474" s="72">
        <v>0</v>
      </c>
      <c r="F474" s="72">
        <v>0.2</v>
      </c>
      <c r="G474" s="72">
        <v>0.4</v>
      </c>
      <c r="H474" s="87"/>
      <c r="I474" s="87"/>
    </row>
    <row r="475" spans="3:9" x14ac:dyDescent="0.2">
      <c r="C475" s="72">
        <v>0.2</v>
      </c>
      <c r="D475" s="72">
        <v>0.2</v>
      </c>
      <c r="E475" s="72">
        <v>0</v>
      </c>
      <c r="F475" s="72">
        <v>0</v>
      </c>
      <c r="G475" s="72">
        <v>0.6</v>
      </c>
      <c r="H475" s="87"/>
      <c r="I475" s="87"/>
    </row>
    <row r="476" spans="3:9" x14ac:dyDescent="0.2">
      <c r="C476" s="72">
        <v>0.2</v>
      </c>
      <c r="D476" s="72">
        <v>0</v>
      </c>
      <c r="E476" s="72">
        <v>0.8</v>
      </c>
      <c r="F476" s="72">
        <v>0</v>
      </c>
      <c r="G476" s="72">
        <v>0</v>
      </c>
      <c r="H476" s="87"/>
      <c r="I476" s="87"/>
    </row>
    <row r="477" spans="3:9" x14ac:dyDescent="0.2">
      <c r="C477" s="72">
        <v>0.2</v>
      </c>
      <c r="D477" s="72">
        <v>0</v>
      </c>
      <c r="E477" s="72">
        <v>0.6</v>
      </c>
      <c r="F477" s="72">
        <v>0.2</v>
      </c>
      <c r="G477" s="72">
        <v>0</v>
      </c>
      <c r="H477" s="87"/>
      <c r="I477" s="87"/>
    </row>
    <row r="478" spans="3:9" x14ac:dyDescent="0.2">
      <c r="C478" s="72">
        <v>0.2</v>
      </c>
      <c r="D478" s="72">
        <v>0</v>
      </c>
      <c r="E478" s="72">
        <v>0.6</v>
      </c>
      <c r="F478" s="72">
        <v>0</v>
      </c>
      <c r="G478" s="72">
        <v>0.2</v>
      </c>
      <c r="H478" s="87"/>
      <c r="I478" s="87"/>
    </row>
    <row r="479" spans="3:9" x14ac:dyDescent="0.2">
      <c r="C479" s="72">
        <v>0.2</v>
      </c>
      <c r="D479" s="72">
        <v>0</v>
      </c>
      <c r="E479" s="72">
        <v>0.4</v>
      </c>
      <c r="F479" s="72">
        <v>0.4</v>
      </c>
      <c r="G479" s="72">
        <v>0</v>
      </c>
      <c r="H479" s="87"/>
      <c r="I479" s="87"/>
    </row>
    <row r="480" spans="3:9" x14ac:dyDescent="0.2">
      <c r="C480" s="72">
        <v>0.2</v>
      </c>
      <c r="D480" s="72">
        <v>0</v>
      </c>
      <c r="E480" s="72">
        <v>0.4</v>
      </c>
      <c r="F480" s="72">
        <v>0.2</v>
      </c>
      <c r="G480" s="72">
        <v>0.2</v>
      </c>
      <c r="H480" s="87"/>
      <c r="I480" s="87"/>
    </row>
    <row r="481" spans="3:9" x14ac:dyDescent="0.2">
      <c r="C481" s="72">
        <v>0.2</v>
      </c>
      <c r="D481" s="72">
        <v>0</v>
      </c>
      <c r="E481" s="72">
        <v>0.4</v>
      </c>
      <c r="F481" s="72">
        <v>0</v>
      </c>
      <c r="G481" s="72">
        <v>0.4</v>
      </c>
      <c r="H481" s="87"/>
      <c r="I481" s="87"/>
    </row>
    <row r="482" spans="3:9" x14ac:dyDescent="0.2">
      <c r="C482" s="72">
        <v>0.2</v>
      </c>
      <c r="D482" s="72">
        <v>0</v>
      </c>
      <c r="E482" s="72">
        <v>0.26666699999999999</v>
      </c>
      <c r="F482" s="72">
        <v>0.26666699999999999</v>
      </c>
      <c r="G482" s="72">
        <v>0.26666699999999999</v>
      </c>
      <c r="H482" s="87"/>
      <c r="I482" s="87"/>
    </row>
    <row r="483" spans="3:9" x14ac:dyDescent="0.2">
      <c r="C483" s="72">
        <v>0.2</v>
      </c>
      <c r="D483" s="72">
        <v>0</v>
      </c>
      <c r="E483" s="72">
        <v>0.2</v>
      </c>
      <c r="F483" s="72">
        <v>0.6</v>
      </c>
      <c r="G483" s="72">
        <v>0</v>
      </c>
      <c r="H483" s="87"/>
      <c r="I483" s="87"/>
    </row>
    <row r="484" spans="3:9" x14ac:dyDescent="0.2">
      <c r="C484" s="72">
        <v>0.2</v>
      </c>
      <c r="D484" s="72">
        <v>0</v>
      </c>
      <c r="E484" s="72">
        <v>0.2</v>
      </c>
      <c r="F484" s="72">
        <v>0.4</v>
      </c>
      <c r="G484" s="72">
        <v>0.2</v>
      </c>
      <c r="H484" s="87"/>
      <c r="I484" s="87"/>
    </row>
    <row r="485" spans="3:9" x14ac:dyDescent="0.2">
      <c r="C485" s="72">
        <v>0.2</v>
      </c>
      <c r="D485" s="72">
        <v>0</v>
      </c>
      <c r="E485" s="72">
        <v>0.2</v>
      </c>
      <c r="F485" s="72">
        <v>0.2</v>
      </c>
      <c r="G485" s="72">
        <v>0.4</v>
      </c>
      <c r="H485" s="87"/>
      <c r="I485" s="87"/>
    </row>
    <row r="486" spans="3:9" x14ac:dyDescent="0.2">
      <c r="C486" s="72">
        <v>0.2</v>
      </c>
      <c r="D486" s="72">
        <v>0</v>
      </c>
      <c r="E486" s="72">
        <v>0.2</v>
      </c>
      <c r="F486" s="72">
        <v>0</v>
      </c>
      <c r="G486" s="72">
        <v>0.6</v>
      </c>
      <c r="H486" s="87"/>
      <c r="I486" s="87"/>
    </row>
    <row r="487" spans="3:9" x14ac:dyDescent="0.2">
      <c r="C487" s="72">
        <v>0.2</v>
      </c>
      <c r="D487" s="72">
        <v>0</v>
      </c>
      <c r="E487" s="72">
        <v>0</v>
      </c>
      <c r="F487" s="72">
        <v>0.8</v>
      </c>
      <c r="G487" s="72">
        <v>0</v>
      </c>
      <c r="H487" s="87"/>
      <c r="I487" s="87"/>
    </row>
    <row r="488" spans="3:9" x14ac:dyDescent="0.2">
      <c r="C488" s="72">
        <v>0.2</v>
      </c>
      <c r="D488" s="72">
        <v>0</v>
      </c>
      <c r="E488" s="72">
        <v>0</v>
      </c>
      <c r="F488" s="72">
        <v>0.6</v>
      </c>
      <c r="G488" s="72">
        <v>0.2</v>
      </c>
      <c r="H488" s="87"/>
      <c r="I488" s="87"/>
    </row>
    <row r="489" spans="3:9" x14ac:dyDescent="0.2">
      <c r="C489" s="72">
        <v>0.2</v>
      </c>
      <c r="D489" s="72">
        <v>0</v>
      </c>
      <c r="E489" s="72">
        <v>0</v>
      </c>
      <c r="F489" s="72">
        <v>0.4</v>
      </c>
      <c r="G489" s="72">
        <v>0.4</v>
      </c>
      <c r="H489" s="87"/>
      <c r="I489" s="87"/>
    </row>
    <row r="490" spans="3:9" x14ac:dyDescent="0.2">
      <c r="C490" s="72">
        <v>0.2</v>
      </c>
      <c r="D490" s="72">
        <v>0</v>
      </c>
      <c r="E490" s="72">
        <v>0</v>
      </c>
      <c r="F490" s="72">
        <v>0.2</v>
      </c>
      <c r="G490" s="72">
        <v>0.6</v>
      </c>
      <c r="H490" s="87"/>
      <c r="I490" s="87"/>
    </row>
    <row r="491" spans="3:9" x14ac:dyDescent="0.2">
      <c r="C491" s="72">
        <v>0.2</v>
      </c>
      <c r="D491" s="72">
        <v>0</v>
      </c>
      <c r="E491" s="72">
        <v>0</v>
      </c>
      <c r="F491" s="72">
        <v>0</v>
      </c>
      <c r="G491" s="72">
        <v>0.8</v>
      </c>
      <c r="H491" s="87"/>
      <c r="I491" s="87"/>
    </row>
    <row r="492" spans="3:9" x14ac:dyDescent="0.2">
      <c r="C492" s="72">
        <v>0.183333</v>
      </c>
      <c r="D492" s="72">
        <v>0.45</v>
      </c>
      <c r="E492" s="72">
        <v>0.183333</v>
      </c>
      <c r="F492" s="72">
        <v>0.183333</v>
      </c>
      <c r="G492" s="72">
        <v>0</v>
      </c>
      <c r="H492" s="87"/>
      <c r="I492" s="87"/>
    </row>
    <row r="493" spans="3:9" x14ac:dyDescent="0.2">
      <c r="C493" s="72">
        <v>0.183333</v>
      </c>
      <c r="D493" s="72">
        <v>0.45</v>
      </c>
      <c r="E493" s="72">
        <v>0.183333</v>
      </c>
      <c r="F493" s="72">
        <v>0</v>
      </c>
      <c r="G493" s="72">
        <v>0.183333</v>
      </c>
      <c r="H493" s="87"/>
      <c r="I493" s="87"/>
    </row>
    <row r="494" spans="3:9" x14ac:dyDescent="0.2">
      <c r="C494" s="72">
        <v>0.183333</v>
      </c>
      <c r="D494" s="72">
        <v>0.45</v>
      </c>
      <c r="E494" s="72">
        <v>0</v>
      </c>
      <c r="F494" s="72">
        <v>0.183333</v>
      </c>
      <c r="G494" s="72">
        <v>0.183333</v>
      </c>
      <c r="H494" s="87"/>
      <c r="I494" s="87"/>
    </row>
    <row r="495" spans="3:9" x14ac:dyDescent="0.2">
      <c r="C495" s="72">
        <v>0.183333</v>
      </c>
      <c r="D495" s="72">
        <v>0.183333</v>
      </c>
      <c r="E495" s="72">
        <v>0.45</v>
      </c>
      <c r="F495" s="72">
        <v>0.183333</v>
      </c>
      <c r="G495" s="72">
        <v>0</v>
      </c>
      <c r="H495" s="87"/>
      <c r="I495" s="87"/>
    </row>
    <row r="496" spans="3:9" x14ac:dyDescent="0.2">
      <c r="C496" s="72">
        <v>0.183333</v>
      </c>
      <c r="D496" s="72">
        <v>0.183333</v>
      </c>
      <c r="E496" s="72">
        <v>0.45</v>
      </c>
      <c r="F496" s="72">
        <v>0</v>
      </c>
      <c r="G496" s="72">
        <v>0.183333</v>
      </c>
      <c r="H496" s="87"/>
      <c r="I496" s="87"/>
    </row>
    <row r="497" spans="3:9" x14ac:dyDescent="0.2">
      <c r="C497" s="72">
        <v>0.183333</v>
      </c>
      <c r="D497" s="72">
        <v>0.183333</v>
      </c>
      <c r="E497" s="72">
        <v>0.183333</v>
      </c>
      <c r="F497" s="72">
        <v>0.45</v>
      </c>
      <c r="G497" s="72">
        <v>0</v>
      </c>
      <c r="H497" s="87"/>
      <c r="I497" s="87"/>
    </row>
    <row r="498" spans="3:9" x14ac:dyDescent="0.2">
      <c r="C498" s="72">
        <v>0.183333</v>
      </c>
      <c r="D498" s="72">
        <v>0.183333</v>
      </c>
      <c r="E498" s="72">
        <v>0.183333</v>
      </c>
      <c r="F498" s="72">
        <v>0</v>
      </c>
      <c r="G498" s="72">
        <v>0.45</v>
      </c>
      <c r="H498" s="87"/>
      <c r="I498" s="87"/>
    </row>
    <row r="499" spans="3:9" x14ac:dyDescent="0.2">
      <c r="C499" s="72">
        <v>0.183333</v>
      </c>
      <c r="D499" s="72">
        <v>0.183333</v>
      </c>
      <c r="E499" s="72">
        <v>0</v>
      </c>
      <c r="F499" s="72">
        <v>0.45</v>
      </c>
      <c r="G499" s="72">
        <v>0.183333</v>
      </c>
      <c r="H499" s="87"/>
      <c r="I499" s="87"/>
    </row>
    <row r="500" spans="3:9" x14ac:dyDescent="0.2">
      <c r="C500" s="72">
        <v>0.183333</v>
      </c>
      <c r="D500" s="72">
        <v>0.183333</v>
      </c>
      <c r="E500" s="72">
        <v>0</v>
      </c>
      <c r="F500" s="72">
        <v>0.183333</v>
      </c>
      <c r="G500" s="72">
        <v>0.45</v>
      </c>
      <c r="H500" s="87"/>
      <c r="I500" s="87"/>
    </row>
    <row r="501" spans="3:9" x14ac:dyDescent="0.2">
      <c r="C501" s="72">
        <v>0.183333</v>
      </c>
      <c r="D501" s="72">
        <v>0</v>
      </c>
      <c r="E501" s="72">
        <v>0.45</v>
      </c>
      <c r="F501" s="72">
        <v>0.183333</v>
      </c>
      <c r="G501" s="72">
        <v>0.183333</v>
      </c>
      <c r="H501" s="87"/>
      <c r="I501" s="87"/>
    </row>
    <row r="502" spans="3:9" x14ac:dyDescent="0.2">
      <c r="C502" s="72">
        <v>0.183333</v>
      </c>
      <c r="D502" s="72">
        <v>0</v>
      </c>
      <c r="E502" s="72">
        <v>0.183333</v>
      </c>
      <c r="F502" s="72">
        <v>0.45</v>
      </c>
      <c r="G502" s="72">
        <v>0.183333</v>
      </c>
      <c r="H502" s="87"/>
      <c r="I502" s="87"/>
    </row>
    <row r="503" spans="3:9" x14ac:dyDescent="0.2">
      <c r="C503" s="72">
        <v>0.183333</v>
      </c>
      <c r="D503" s="72">
        <v>0</v>
      </c>
      <c r="E503" s="72">
        <v>0.183333</v>
      </c>
      <c r="F503" s="72">
        <v>0.183333</v>
      </c>
      <c r="G503" s="72">
        <v>0.45</v>
      </c>
      <c r="H503" s="87"/>
      <c r="I503" s="87"/>
    </row>
    <row r="504" spans="3:9" x14ac:dyDescent="0.2">
      <c r="C504" s="72">
        <v>0.17499999999999999</v>
      </c>
      <c r="D504" s="72">
        <v>0.65</v>
      </c>
      <c r="E504" s="72">
        <v>0.17499999999999999</v>
      </c>
      <c r="F504" s="72">
        <v>0</v>
      </c>
      <c r="G504" s="72">
        <v>0</v>
      </c>
      <c r="H504" s="87"/>
      <c r="I504" s="87"/>
    </row>
    <row r="505" spans="3:9" x14ac:dyDescent="0.2">
      <c r="C505" s="72">
        <v>0.17499999999999999</v>
      </c>
      <c r="D505" s="72">
        <v>0.65</v>
      </c>
      <c r="E505" s="72">
        <v>0</v>
      </c>
      <c r="F505" s="72">
        <v>0.17499999999999999</v>
      </c>
      <c r="G505" s="72">
        <v>0</v>
      </c>
      <c r="H505" s="87"/>
      <c r="I505" s="87"/>
    </row>
    <row r="506" spans="3:9" x14ac:dyDescent="0.2">
      <c r="C506" s="72">
        <v>0.17499999999999999</v>
      </c>
      <c r="D506" s="72">
        <v>0.65</v>
      </c>
      <c r="E506" s="72">
        <v>0</v>
      </c>
      <c r="F506" s="72">
        <v>0</v>
      </c>
      <c r="G506" s="72">
        <v>0.17499999999999999</v>
      </c>
      <c r="H506" s="87"/>
      <c r="I506" s="87"/>
    </row>
    <row r="507" spans="3:9" x14ac:dyDescent="0.2">
      <c r="C507" s="72">
        <v>0.17499999999999999</v>
      </c>
      <c r="D507" s="72">
        <v>0.17499999999999999</v>
      </c>
      <c r="E507" s="72">
        <v>0.65</v>
      </c>
      <c r="F507" s="72">
        <v>0</v>
      </c>
      <c r="G507" s="72">
        <v>0</v>
      </c>
      <c r="H507" s="87"/>
      <c r="I507" s="87"/>
    </row>
    <row r="508" spans="3:9" x14ac:dyDescent="0.2">
      <c r="C508" s="72">
        <v>0.17499999999999999</v>
      </c>
      <c r="D508" s="72">
        <v>0.17499999999999999</v>
      </c>
      <c r="E508" s="72">
        <v>0</v>
      </c>
      <c r="F508" s="72">
        <v>0.65</v>
      </c>
      <c r="G508" s="72">
        <v>0</v>
      </c>
      <c r="H508" s="87"/>
      <c r="I508" s="87"/>
    </row>
    <row r="509" spans="3:9" x14ac:dyDescent="0.2">
      <c r="C509" s="72">
        <v>0.17499999999999999</v>
      </c>
      <c r="D509" s="72">
        <v>0.17499999999999999</v>
      </c>
      <c r="E509" s="72">
        <v>0</v>
      </c>
      <c r="F509" s="72">
        <v>0</v>
      </c>
      <c r="G509" s="72">
        <v>0.65</v>
      </c>
      <c r="H509" s="87"/>
      <c r="I509" s="87"/>
    </row>
    <row r="510" spans="3:9" x14ac:dyDescent="0.2">
      <c r="C510" s="72">
        <v>0.17499999999999999</v>
      </c>
      <c r="D510" s="72">
        <v>0</v>
      </c>
      <c r="E510" s="72">
        <v>0.65</v>
      </c>
      <c r="F510" s="72">
        <v>0.17499999999999999</v>
      </c>
      <c r="G510" s="72">
        <v>0</v>
      </c>
      <c r="H510" s="87"/>
      <c r="I510" s="87"/>
    </row>
    <row r="511" spans="3:9" x14ac:dyDescent="0.2">
      <c r="C511" s="72">
        <v>0.17499999999999999</v>
      </c>
      <c r="D511" s="72">
        <v>0</v>
      </c>
      <c r="E511" s="72">
        <v>0.65</v>
      </c>
      <c r="F511" s="72">
        <v>0</v>
      </c>
      <c r="G511" s="72">
        <v>0.17499999999999999</v>
      </c>
      <c r="H511" s="87"/>
      <c r="I511" s="87"/>
    </row>
    <row r="512" spans="3:9" x14ac:dyDescent="0.2">
      <c r="C512" s="72">
        <v>0.17499999999999999</v>
      </c>
      <c r="D512" s="72">
        <v>0</v>
      </c>
      <c r="E512" s="72">
        <v>0.17499999999999999</v>
      </c>
      <c r="F512" s="72">
        <v>0.65</v>
      </c>
      <c r="G512" s="72">
        <v>0</v>
      </c>
      <c r="H512" s="87"/>
      <c r="I512" s="87"/>
    </row>
    <row r="513" spans="3:9" x14ac:dyDescent="0.2">
      <c r="C513" s="72">
        <v>0.17499999999999999</v>
      </c>
      <c r="D513" s="72">
        <v>0</v>
      </c>
      <c r="E513" s="72">
        <v>0.17499999999999999</v>
      </c>
      <c r="F513" s="72">
        <v>0</v>
      </c>
      <c r="G513" s="72">
        <v>0.65</v>
      </c>
      <c r="H513" s="87"/>
      <c r="I513" s="87"/>
    </row>
    <row r="514" spans="3:9" x14ac:dyDescent="0.2">
      <c r="C514" s="72">
        <v>0.17499999999999999</v>
      </c>
      <c r="D514" s="72">
        <v>0</v>
      </c>
      <c r="E514" s="72">
        <v>0</v>
      </c>
      <c r="F514" s="72">
        <v>0.65</v>
      </c>
      <c r="G514" s="72">
        <v>0.17499999999999999</v>
      </c>
      <c r="H514" s="87"/>
      <c r="I514" s="87"/>
    </row>
    <row r="515" spans="3:9" x14ac:dyDescent="0.2">
      <c r="C515" s="72">
        <v>0.17499999999999999</v>
      </c>
      <c r="D515" s="72">
        <v>0</v>
      </c>
      <c r="E515" s="72">
        <v>0</v>
      </c>
      <c r="F515" s="72">
        <v>0.17499999999999999</v>
      </c>
      <c r="G515" s="72">
        <v>0.65</v>
      </c>
      <c r="H515" s="87"/>
      <c r="I515" s="87"/>
    </row>
    <row r="516" spans="3:9" x14ac:dyDescent="0.2">
      <c r="C516" s="72">
        <v>0.16666700000000001</v>
      </c>
      <c r="D516" s="72">
        <v>0.5</v>
      </c>
      <c r="E516" s="72">
        <v>0.16666700000000001</v>
      </c>
      <c r="F516" s="72">
        <v>0.16666700000000001</v>
      </c>
      <c r="G516" s="72">
        <v>0</v>
      </c>
      <c r="H516" s="87"/>
      <c r="I516" s="87"/>
    </row>
    <row r="517" spans="3:9" x14ac:dyDescent="0.2">
      <c r="C517" s="72">
        <v>0.16666700000000001</v>
      </c>
      <c r="D517" s="72">
        <v>0.5</v>
      </c>
      <c r="E517" s="72">
        <v>0.16666700000000001</v>
      </c>
      <c r="F517" s="72">
        <v>0</v>
      </c>
      <c r="G517" s="72">
        <v>0.16666700000000001</v>
      </c>
      <c r="H517" s="87"/>
      <c r="I517" s="87"/>
    </row>
    <row r="518" spans="3:9" x14ac:dyDescent="0.2">
      <c r="C518" s="72">
        <v>0.16666700000000001</v>
      </c>
      <c r="D518" s="72">
        <v>0.5</v>
      </c>
      <c r="E518" s="72">
        <v>0</v>
      </c>
      <c r="F518" s="72">
        <v>0.16666700000000001</v>
      </c>
      <c r="G518" s="72">
        <v>0.16666700000000001</v>
      </c>
      <c r="H518" s="87"/>
      <c r="I518" s="87"/>
    </row>
    <row r="519" spans="3:9" x14ac:dyDescent="0.2">
      <c r="C519" s="72">
        <v>0.16666700000000001</v>
      </c>
      <c r="D519" s="72">
        <v>0.16666700000000001</v>
      </c>
      <c r="E519" s="72">
        <v>0.5</v>
      </c>
      <c r="F519" s="72">
        <v>0.16666700000000001</v>
      </c>
      <c r="G519" s="72">
        <v>0</v>
      </c>
      <c r="H519" s="87"/>
      <c r="I519" s="87"/>
    </row>
    <row r="520" spans="3:9" x14ac:dyDescent="0.2">
      <c r="C520" s="72">
        <v>0.16666700000000001</v>
      </c>
      <c r="D520" s="72">
        <v>0.16666700000000001</v>
      </c>
      <c r="E520" s="72">
        <v>0.5</v>
      </c>
      <c r="F520" s="72">
        <v>0</v>
      </c>
      <c r="G520" s="72">
        <v>0.16666700000000001</v>
      </c>
      <c r="H520" s="87"/>
      <c r="I520" s="87"/>
    </row>
    <row r="521" spans="3:9" x14ac:dyDescent="0.2">
      <c r="C521" s="72">
        <v>0.16666700000000001</v>
      </c>
      <c r="D521" s="72">
        <v>0.16666700000000001</v>
      </c>
      <c r="E521" s="72">
        <v>0.16666700000000001</v>
      </c>
      <c r="F521" s="72">
        <v>0.5</v>
      </c>
      <c r="G521" s="72">
        <v>0</v>
      </c>
      <c r="H521" s="87"/>
      <c r="I521" s="87"/>
    </row>
    <row r="522" spans="3:9" x14ac:dyDescent="0.2">
      <c r="C522" s="72">
        <v>0.16666700000000001</v>
      </c>
      <c r="D522" s="72">
        <v>0.16666700000000001</v>
      </c>
      <c r="E522" s="72">
        <v>0.16666700000000001</v>
      </c>
      <c r="F522" s="72">
        <v>0</v>
      </c>
      <c r="G522" s="72">
        <v>0.5</v>
      </c>
      <c r="H522" s="87"/>
      <c r="I522" s="87"/>
    </row>
    <row r="523" spans="3:9" x14ac:dyDescent="0.2">
      <c r="C523" s="72">
        <v>0.16666700000000001</v>
      </c>
      <c r="D523" s="72">
        <v>0.16666700000000001</v>
      </c>
      <c r="E523" s="72">
        <v>0</v>
      </c>
      <c r="F523" s="72">
        <v>0.5</v>
      </c>
      <c r="G523" s="72">
        <v>0.16666700000000001</v>
      </c>
      <c r="H523" s="87"/>
      <c r="I523" s="87"/>
    </row>
    <row r="524" spans="3:9" x14ac:dyDescent="0.2">
      <c r="C524" s="72">
        <v>0.16666700000000001</v>
      </c>
      <c r="D524" s="72">
        <v>0.16666700000000001</v>
      </c>
      <c r="E524" s="72">
        <v>0</v>
      </c>
      <c r="F524" s="72">
        <v>0.16666700000000001</v>
      </c>
      <c r="G524" s="72">
        <v>0.5</v>
      </c>
      <c r="H524" s="87"/>
      <c r="I524" s="87"/>
    </row>
    <row r="525" spans="3:9" x14ac:dyDescent="0.2">
      <c r="C525" s="72">
        <v>0.16666700000000001</v>
      </c>
      <c r="D525" s="72">
        <v>0</v>
      </c>
      <c r="E525" s="72">
        <v>0.5</v>
      </c>
      <c r="F525" s="72">
        <v>0.16666700000000001</v>
      </c>
      <c r="G525" s="72">
        <v>0.16666700000000001</v>
      </c>
      <c r="H525" s="87"/>
      <c r="I525" s="87"/>
    </row>
    <row r="526" spans="3:9" x14ac:dyDescent="0.2">
      <c r="C526" s="72">
        <v>0.16666700000000001</v>
      </c>
      <c r="D526" s="72">
        <v>0</v>
      </c>
      <c r="E526" s="72">
        <v>0.16666700000000001</v>
      </c>
      <c r="F526" s="72">
        <v>0.5</v>
      </c>
      <c r="G526" s="72">
        <v>0.16666700000000001</v>
      </c>
      <c r="H526" s="87"/>
      <c r="I526" s="87"/>
    </row>
    <row r="527" spans="3:9" x14ac:dyDescent="0.2">
      <c r="C527" s="72">
        <v>0.16666700000000001</v>
      </c>
      <c r="D527" s="72">
        <v>0</v>
      </c>
      <c r="E527" s="72">
        <v>0.16666700000000001</v>
      </c>
      <c r="F527" s="72">
        <v>0.16666700000000001</v>
      </c>
      <c r="G527" s="72">
        <v>0.5</v>
      </c>
      <c r="H527" s="87"/>
      <c r="I527" s="87"/>
    </row>
    <row r="528" spans="3:9" x14ac:dyDescent="0.2">
      <c r="C528" s="72">
        <v>0.15</v>
      </c>
      <c r="D528" s="72">
        <v>0.85</v>
      </c>
      <c r="E528" s="72">
        <v>0</v>
      </c>
      <c r="F528" s="72">
        <v>0</v>
      </c>
      <c r="G528" s="72">
        <v>0</v>
      </c>
      <c r="H528" s="87"/>
      <c r="I528" s="87"/>
    </row>
    <row r="529" spans="3:9" x14ac:dyDescent="0.2">
      <c r="C529" s="72">
        <v>0.15</v>
      </c>
      <c r="D529" s="72">
        <v>0.7</v>
      </c>
      <c r="E529" s="72">
        <v>0.15</v>
      </c>
      <c r="F529" s="72">
        <v>0</v>
      </c>
      <c r="G529" s="72">
        <v>0</v>
      </c>
      <c r="H529" s="87"/>
      <c r="I529" s="87"/>
    </row>
    <row r="530" spans="3:9" x14ac:dyDescent="0.2">
      <c r="C530" s="72">
        <v>0.15</v>
      </c>
      <c r="D530" s="72">
        <v>0.7</v>
      </c>
      <c r="E530" s="72">
        <v>0</v>
      </c>
      <c r="F530" s="72">
        <v>0.15</v>
      </c>
      <c r="G530" s="72">
        <v>0</v>
      </c>
      <c r="H530" s="87"/>
      <c r="I530" s="87"/>
    </row>
    <row r="531" spans="3:9" x14ac:dyDescent="0.2">
      <c r="C531" s="72">
        <v>0.15</v>
      </c>
      <c r="D531" s="72">
        <v>0.7</v>
      </c>
      <c r="E531" s="72">
        <v>0</v>
      </c>
      <c r="F531" s="72">
        <v>0</v>
      </c>
      <c r="G531" s="72">
        <v>0.15</v>
      </c>
      <c r="H531" s="87"/>
      <c r="I531" s="87"/>
    </row>
    <row r="532" spans="3:9" x14ac:dyDescent="0.2">
      <c r="C532" s="72">
        <v>0.15</v>
      </c>
      <c r="D532" s="72">
        <v>0.55000000000000004</v>
      </c>
      <c r="E532" s="72">
        <v>0.15</v>
      </c>
      <c r="F532" s="72">
        <v>0.15</v>
      </c>
      <c r="G532" s="72">
        <v>0</v>
      </c>
      <c r="H532" s="87"/>
      <c r="I532" s="87"/>
    </row>
    <row r="533" spans="3:9" x14ac:dyDescent="0.2">
      <c r="C533" s="72">
        <v>0.15</v>
      </c>
      <c r="D533" s="72">
        <v>0.55000000000000004</v>
      </c>
      <c r="E533" s="72">
        <v>0.15</v>
      </c>
      <c r="F533" s="72">
        <v>0</v>
      </c>
      <c r="G533" s="72">
        <v>0.15</v>
      </c>
      <c r="H533" s="87"/>
      <c r="I533" s="87"/>
    </row>
    <row r="534" spans="3:9" x14ac:dyDescent="0.2">
      <c r="C534" s="72">
        <v>0.15</v>
      </c>
      <c r="D534" s="72">
        <v>0.55000000000000004</v>
      </c>
      <c r="E534" s="72">
        <v>0</v>
      </c>
      <c r="F534" s="72">
        <v>0.15</v>
      </c>
      <c r="G534" s="72">
        <v>0.15</v>
      </c>
      <c r="H534" s="87"/>
      <c r="I534" s="87"/>
    </row>
    <row r="535" spans="3:9" x14ac:dyDescent="0.2">
      <c r="C535" s="72">
        <v>0.15</v>
      </c>
      <c r="D535" s="72">
        <v>0.42499999999999999</v>
      </c>
      <c r="E535" s="72">
        <v>0.42499999999999999</v>
      </c>
      <c r="F535" s="72">
        <v>0</v>
      </c>
      <c r="G535" s="72">
        <v>0</v>
      </c>
      <c r="H535" s="87"/>
      <c r="I535" s="87"/>
    </row>
    <row r="536" spans="3:9" x14ac:dyDescent="0.2">
      <c r="C536" s="72">
        <v>0.15</v>
      </c>
      <c r="D536" s="72">
        <v>0.42499999999999999</v>
      </c>
      <c r="E536" s="72">
        <v>0</v>
      </c>
      <c r="F536" s="72">
        <v>0.42499999999999999</v>
      </c>
      <c r="G536" s="72">
        <v>0</v>
      </c>
      <c r="H536" s="87"/>
      <c r="I536" s="87"/>
    </row>
    <row r="537" spans="3:9" x14ac:dyDescent="0.2">
      <c r="C537" s="72">
        <v>0.15</v>
      </c>
      <c r="D537" s="72">
        <v>0.42499999999999999</v>
      </c>
      <c r="E537" s="72">
        <v>0</v>
      </c>
      <c r="F537" s="72">
        <v>0</v>
      </c>
      <c r="G537" s="72">
        <v>0.42499999999999999</v>
      </c>
      <c r="H537" s="87"/>
      <c r="I537" s="87"/>
    </row>
    <row r="538" spans="3:9" x14ac:dyDescent="0.2">
      <c r="C538" s="72">
        <v>0.15</v>
      </c>
      <c r="D538" s="72">
        <v>0.283333</v>
      </c>
      <c r="E538" s="72">
        <v>0.283333</v>
      </c>
      <c r="F538" s="72">
        <v>0.283333</v>
      </c>
      <c r="G538" s="72">
        <v>0</v>
      </c>
      <c r="H538" s="87"/>
      <c r="I538" s="87"/>
    </row>
    <row r="539" spans="3:9" x14ac:dyDescent="0.2">
      <c r="C539" s="72">
        <v>0.15</v>
      </c>
      <c r="D539" s="72">
        <v>0.283333</v>
      </c>
      <c r="E539" s="72">
        <v>0.283333</v>
      </c>
      <c r="F539" s="72">
        <v>0</v>
      </c>
      <c r="G539" s="72">
        <v>0.283333</v>
      </c>
      <c r="H539" s="87"/>
      <c r="I539" s="87"/>
    </row>
    <row r="540" spans="3:9" x14ac:dyDescent="0.2">
      <c r="C540" s="72">
        <v>0.15</v>
      </c>
      <c r="D540" s="72">
        <v>0.283333</v>
      </c>
      <c r="E540" s="72">
        <v>0</v>
      </c>
      <c r="F540" s="72">
        <v>0.283333</v>
      </c>
      <c r="G540" s="72">
        <v>0.283333</v>
      </c>
      <c r="H540" s="87"/>
      <c r="I540" s="87"/>
    </row>
    <row r="541" spans="3:9" x14ac:dyDescent="0.2">
      <c r="C541" s="72">
        <v>0.15</v>
      </c>
      <c r="D541" s="72">
        <v>0.15</v>
      </c>
      <c r="E541" s="72">
        <v>0.7</v>
      </c>
      <c r="F541" s="72">
        <v>0</v>
      </c>
      <c r="G541" s="72">
        <v>0</v>
      </c>
      <c r="H541" s="87"/>
      <c r="I541" s="87"/>
    </row>
    <row r="542" spans="3:9" x14ac:dyDescent="0.2">
      <c r="C542" s="72">
        <v>0.15</v>
      </c>
      <c r="D542" s="72">
        <v>0.15</v>
      </c>
      <c r="E542" s="72">
        <v>0.55000000000000004</v>
      </c>
      <c r="F542" s="72">
        <v>0.15</v>
      </c>
      <c r="G542" s="72">
        <v>0</v>
      </c>
      <c r="H542" s="87"/>
      <c r="I542" s="87"/>
    </row>
    <row r="543" spans="3:9" x14ac:dyDescent="0.2">
      <c r="C543" s="72">
        <v>0.15</v>
      </c>
      <c r="D543" s="72">
        <v>0.15</v>
      </c>
      <c r="E543" s="72">
        <v>0.55000000000000004</v>
      </c>
      <c r="F543" s="72">
        <v>0</v>
      </c>
      <c r="G543" s="72">
        <v>0.15</v>
      </c>
      <c r="H543" s="87"/>
      <c r="I543" s="87"/>
    </row>
    <row r="544" spans="3:9" x14ac:dyDescent="0.2">
      <c r="C544" s="72">
        <v>0.15</v>
      </c>
      <c r="D544" s="72">
        <v>0.15</v>
      </c>
      <c r="E544" s="72">
        <v>0.15</v>
      </c>
      <c r="F544" s="72">
        <v>0.55000000000000004</v>
      </c>
      <c r="G544" s="72">
        <v>0</v>
      </c>
      <c r="H544" s="87"/>
      <c r="I544" s="87"/>
    </row>
    <row r="545" spans="3:9" x14ac:dyDescent="0.2">
      <c r="C545" s="72">
        <v>0.15</v>
      </c>
      <c r="D545" s="72">
        <v>0.15</v>
      </c>
      <c r="E545" s="72">
        <v>0.15</v>
      </c>
      <c r="F545" s="72">
        <v>0</v>
      </c>
      <c r="G545" s="72">
        <v>0.55000000000000004</v>
      </c>
      <c r="H545" s="87"/>
      <c r="I545" s="87"/>
    </row>
    <row r="546" spans="3:9" x14ac:dyDescent="0.2">
      <c r="C546" s="72">
        <v>0.15</v>
      </c>
      <c r="D546" s="72">
        <v>0.15</v>
      </c>
      <c r="E546" s="72">
        <v>0</v>
      </c>
      <c r="F546" s="72">
        <v>0.7</v>
      </c>
      <c r="G546" s="72">
        <v>0</v>
      </c>
      <c r="H546" s="87"/>
      <c r="I546" s="87"/>
    </row>
    <row r="547" spans="3:9" x14ac:dyDescent="0.2">
      <c r="C547" s="72">
        <v>0.15</v>
      </c>
      <c r="D547" s="72">
        <v>0.15</v>
      </c>
      <c r="E547" s="72">
        <v>0</v>
      </c>
      <c r="F547" s="72">
        <v>0.55000000000000004</v>
      </c>
      <c r="G547" s="72">
        <v>0.15</v>
      </c>
      <c r="H547" s="87"/>
      <c r="I547" s="87"/>
    </row>
    <row r="548" spans="3:9" x14ac:dyDescent="0.2">
      <c r="C548" s="72">
        <v>0.15</v>
      </c>
      <c r="D548" s="72">
        <v>0.15</v>
      </c>
      <c r="E548" s="72">
        <v>0</v>
      </c>
      <c r="F548" s="72">
        <v>0.15</v>
      </c>
      <c r="G548" s="72">
        <v>0.55000000000000004</v>
      </c>
      <c r="H548" s="87"/>
      <c r="I548" s="87"/>
    </row>
    <row r="549" spans="3:9" x14ac:dyDescent="0.2">
      <c r="C549" s="72">
        <v>0.15</v>
      </c>
      <c r="D549" s="72">
        <v>0.15</v>
      </c>
      <c r="E549" s="72">
        <v>0</v>
      </c>
      <c r="F549" s="72">
        <v>0</v>
      </c>
      <c r="G549" s="72">
        <v>0.7</v>
      </c>
      <c r="H549" s="87"/>
      <c r="I549" s="87"/>
    </row>
    <row r="550" spans="3:9" x14ac:dyDescent="0.2">
      <c r="C550" s="72">
        <v>0.15</v>
      </c>
      <c r="D550" s="72">
        <v>0</v>
      </c>
      <c r="E550" s="72">
        <v>0.85</v>
      </c>
      <c r="F550" s="72">
        <v>0</v>
      </c>
      <c r="G550" s="72">
        <v>0</v>
      </c>
      <c r="H550" s="87"/>
      <c r="I550" s="87"/>
    </row>
    <row r="551" spans="3:9" x14ac:dyDescent="0.2">
      <c r="C551" s="72">
        <v>0.15</v>
      </c>
      <c r="D551" s="72">
        <v>0</v>
      </c>
      <c r="E551" s="72">
        <v>0.7</v>
      </c>
      <c r="F551" s="72">
        <v>0.15</v>
      </c>
      <c r="G551" s="72">
        <v>0</v>
      </c>
      <c r="H551" s="87"/>
      <c r="I551" s="87"/>
    </row>
    <row r="552" spans="3:9" x14ac:dyDescent="0.2">
      <c r="C552" s="72">
        <v>0.15</v>
      </c>
      <c r="D552" s="72">
        <v>0</v>
      </c>
      <c r="E552" s="72">
        <v>0.7</v>
      </c>
      <c r="F552" s="72">
        <v>0</v>
      </c>
      <c r="G552" s="72">
        <v>0.15</v>
      </c>
      <c r="H552" s="87"/>
      <c r="I552" s="87"/>
    </row>
    <row r="553" spans="3:9" x14ac:dyDescent="0.2">
      <c r="C553" s="72">
        <v>0.15</v>
      </c>
      <c r="D553" s="72">
        <v>0</v>
      </c>
      <c r="E553" s="72">
        <v>0.55000000000000004</v>
      </c>
      <c r="F553" s="72">
        <v>0.15</v>
      </c>
      <c r="G553" s="72">
        <v>0.15</v>
      </c>
      <c r="H553" s="87"/>
      <c r="I553" s="87"/>
    </row>
    <row r="554" spans="3:9" x14ac:dyDescent="0.2">
      <c r="C554" s="72">
        <v>0.15</v>
      </c>
      <c r="D554" s="72">
        <v>0</v>
      </c>
      <c r="E554" s="72">
        <v>0.42499999999999999</v>
      </c>
      <c r="F554" s="72">
        <v>0.42499999999999999</v>
      </c>
      <c r="G554" s="72">
        <v>0</v>
      </c>
      <c r="H554" s="87"/>
      <c r="I554" s="87"/>
    </row>
    <row r="555" spans="3:9" x14ac:dyDescent="0.2">
      <c r="C555" s="72">
        <v>0.15</v>
      </c>
      <c r="D555" s="72">
        <v>0</v>
      </c>
      <c r="E555" s="72">
        <v>0.42499999999999999</v>
      </c>
      <c r="F555" s="72">
        <v>0</v>
      </c>
      <c r="G555" s="72">
        <v>0.42499999999999999</v>
      </c>
      <c r="H555" s="87"/>
      <c r="I555" s="87"/>
    </row>
    <row r="556" spans="3:9" x14ac:dyDescent="0.2">
      <c r="C556" s="72">
        <v>0.15</v>
      </c>
      <c r="D556" s="72">
        <v>0</v>
      </c>
      <c r="E556" s="72">
        <v>0.283333</v>
      </c>
      <c r="F556" s="72">
        <v>0.283333</v>
      </c>
      <c r="G556" s="72">
        <v>0.283333</v>
      </c>
      <c r="H556" s="87"/>
      <c r="I556" s="87"/>
    </row>
    <row r="557" spans="3:9" x14ac:dyDescent="0.2">
      <c r="C557" s="72">
        <v>0.15</v>
      </c>
      <c r="D557" s="72">
        <v>0</v>
      </c>
      <c r="E557" s="72">
        <v>0.15</v>
      </c>
      <c r="F557" s="72">
        <v>0.7</v>
      </c>
      <c r="G557" s="72">
        <v>0</v>
      </c>
      <c r="H557" s="87"/>
      <c r="I557" s="87"/>
    </row>
    <row r="558" spans="3:9" x14ac:dyDescent="0.2">
      <c r="C558" s="72">
        <v>0.15</v>
      </c>
      <c r="D558" s="72">
        <v>0</v>
      </c>
      <c r="E558" s="72">
        <v>0.15</v>
      </c>
      <c r="F558" s="72">
        <v>0.55000000000000004</v>
      </c>
      <c r="G558" s="72">
        <v>0.15</v>
      </c>
      <c r="H558" s="87"/>
      <c r="I558" s="87"/>
    </row>
    <row r="559" spans="3:9" x14ac:dyDescent="0.2">
      <c r="C559" s="72">
        <v>0.15</v>
      </c>
      <c r="D559" s="72">
        <v>0</v>
      </c>
      <c r="E559" s="72">
        <v>0.15</v>
      </c>
      <c r="F559" s="72">
        <v>0.15</v>
      </c>
      <c r="G559" s="72">
        <v>0.55000000000000004</v>
      </c>
      <c r="H559" s="87"/>
      <c r="I559" s="87"/>
    </row>
    <row r="560" spans="3:9" x14ac:dyDescent="0.2">
      <c r="C560" s="72">
        <v>0.15</v>
      </c>
      <c r="D560" s="72">
        <v>0</v>
      </c>
      <c r="E560" s="72">
        <v>0.15</v>
      </c>
      <c r="F560" s="72">
        <v>0</v>
      </c>
      <c r="G560" s="72">
        <v>0.7</v>
      </c>
      <c r="H560" s="87"/>
      <c r="I560" s="87"/>
    </row>
    <row r="561" spans="3:9" x14ac:dyDescent="0.2">
      <c r="C561" s="72">
        <v>0.15</v>
      </c>
      <c r="D561" s="72">
        <v>0</v>
      </c>
      <c r="E561" s="72">
        <v>0</v>
      </c>
      <c r="F561" s="72">
        <v>0.85</v>
      </c>
      <c r="G561" s="72">
        <v>0</v>
      </c>
      <c r="H561" s="87"/>
      <c r="I561" s="87"/>
    </row>
    <row r="562" spans="3:9" x14ac:dyDescent="0.2">
      <c r="C562" s="72">
        <v>0.15</v>
      </c>
      <c r="D562" s="72">
        <v>0</v>
      </c>
      <c r="E562" s="72">
        <v>0</v>
      </c>
      <c r="F562" s="72">
        <v>0.7</v>
      </c>
      <c r="G562" s="72">
        <v>0.15</v>
      </c>
      <c r="H562" s="87"/>
      <c r="I562" s="87"/>
    </row>
    <row r="563" spans="3:9" x14ac:dyDescent="0.2">
      <c r="C563" s="72">
        <v>0.15</v>
      </c>
      <c r="D563" s="72">
        <v>0</v>
      </c>
      <c r="E563" s="72">
        <v>0</v>
      </c>
      <c r="F563" s="72">
        <v>0.42499999999999999</v>
      </c>
      <c r="G563" s="72">
        <v>0.42499999999999999</v>
      </c>
      <c r="H563" s="87"/>
      <c r="I563" s="87"/>
    </row>
    <row r="564" spans="3:9" x14ac:dyDescent="0.2">
      <c r="C564" s="72">
        <v>0.15</v>
      </c>
      <c r="D564" s="72">
        <v>0</v>
      </c>
      <c r="E564" s="72">
        <v>0</v>
      </c>
      <c r="F564" s="72">
        <v>0.15</v>
      </c>
      <c r="G564" s="72">
        <v>0.7</v>
      </c>
      <c r="H564" s="87"/>
      <c r="I564" s="87"/>
    </row>
    <row r="565" spans="3:9" x14ac:dyDescent="0.2">
      <c r="C565" s="72">
        <v>0.15</v>
      </c>
      <c r="D565" s="72">
        <v>0</v>
      </c>
      <c r="E565" s="72">
        <v>0</v>
      </c>
      <c r="F565" s="72">
        <v>0</v>
      </c>
      <c r="G565" s="72">
        <v>0.85</v>
      </c>
      <c r="H565" s="87"/>
      <c r="I565" s="87"/>
    </row>
    <row r="566" spans="3:9" x14ac:dyDescent="0.2">
      <c r="C566" s="72">
        <v>0.13333300000000001</v>
      </c>
      <c r="D566" s="72">
        <v>0.6</v>
      </c>
      <c r="E566" s="72">
        <v>0.13333300000000001</v>
      </c>
      <c r="F566" s="72">
        <v>0.13333300000000001</v>
      </c>
      <c r="G566" s="72">
        <v>0</v>
      </c>
      <c r="H566" s="87"/>
      <c r="I566" s="87"/>
    </row>
    <row r="567" spans="3:9" x14ac:dyDescent="0.2">
      <c r="C567" s="72">
        <v>0.13333300000000001</v>
      </c>
      <c r="D567" s="72">
        <v>0.6</v>
      </c>
      <c r="E567" s="72">
        <v>0.13333300000000001</v>
      </c>
      <c r="F567" s="72">
        <v>0</v>
      </c>
      <c r="G567" s="72">
        <v>0.13333300000000001</v>
      </c>
      <c r="H567" s="87"/>
      <c r="I567" s="87"/>
    </row>
    <row r="568" spans="3:9" x14ac:dyDescent="0.2">
      <c r="C568" s="72">
        <v>0.13333300000000001</v>
      </c>
      <c r="D568" s="72">
        <v>0.6</v>
      </c>
      <c r="E568" s="72">
        <v>0</v>
      </c>
      <c r="F568" s="72">
        <v>0.13333300000000001</v>
      </c>
      <c r="G568" s="72">
        <v>0.13333300000000001</v>
      </c>
      <c r="H568" s="87"/>
      <c r="I568" s="87"/>
    </row>
    <row r="569" spans="3:9" x14ac:dyDescent="0.2">
      <c r="C569" s="72">
        <v>0.13333300000000001</v>
      </c>
      <c r="D569" s="72">
        <v>0.13333300000000001</v>
      </c>
      <c r="E569" s="72">
        <v>0.6</v>
      </c>
      <c r="F569" s="72">
        <v>0.13333300000000001</v>
      </c>
      <c r="G569" s="72">
        <v>0</v>
      </c>
      <c r="H569" s="87"/>
      <c r="I569" s="87"/>
    </row>
    <row r="570" spans="3:9" x14ac:dyDescent="0.2">
      <c r="C570" s="72">
        <v>0.13333300000000001</v>
      </c>
      <c r="D570" s="72">
        <v>0.13333300000000001</v>
      </c>
      <c r="E570" s="72">
        <v>0.6</v>
      </c>
      <c r="F570" s="72">
        <v>0</v>
      </c>
      <c r="G570" s="72">
        <v>0.13333300000000001</v>
      </c>
      <c r="H570" s="87"/>
      <c r="I570" s="87"/>
    </row>
    <row r="571" spans="3:9" x14ac:dyDescent="0.2">
      <c r="C571" s="72">
        <v>0.13333300000000001</v>
      </c>
      <c r="D571" s="72">
        <v>0.13333300000000001</v>
      </c>
      <c r="E571" s="72">
        <v>0.13333300000000001</v>
      </c>
      <c r="F571" s="72">
        <v>0.6</v>
      </c>
      <c r="G571" s="72">
        <v>0</v>
      </c>
      <c r="H571" s="87"/>
      <c r="I571" s="87"/>
    </row>
    <row r="572" spans="3:9" x14ac:dyDescent="0.2">
      <c r="C572" s="72">
        <v>0.13333300000000001</v>
      </c>
      <c r="D572" s="72">
        <v>0.13333300000000001</v>
      </c>
      <c r="E572" s="72">
        <v>0.13333300000000001</v>
      </c>
      <c r="F572" s="72">
        <v>0</v>
      </c>
      <c r="G572" s="72">
        <v>0.6</v>
      </c>
      <c r="H572" s="87"/>
      <c r="I572" s="87"/>
    </row>
    <row r="573" spans="3:9" x14ac:dyDescent="0.2">
      <c r="C573" s="72">
        <v>0.13333300000000001</v>
      </c>
      <c r="D573" s="72">
        <v>0.13333300000000001</v>
      </c>
      <c r="E573" s="72">
        <v>0</v>
      </c>
      <c r="F573" s="72">
        <v>0.6</v>
      </c>
      <c r="G573" s="72">
        <v>0.13333300000000001</v>
      </c>
      <c r="H573" s="87"/>
      <c r="I573" s="87"/>
    </row>
    <row r="574" spans="3:9" x14ac:dyDescent="0.2">
      <c r="C574" s="72">
        <v>0.13333300000000001</v>
      </c>
      <c r="D574" s="72">
        <v>0.13333300000000001</v>
      </c>
      <c r="E574" s="72">
        <v>0</v>
      </c>
      <c r="F574" s="72">
        <v>0.13333300000000001</v>
      </c>
      <c r="G574" s="72">
        <v>0.6</v>
      </c>
      <c r="H574" s="87"/>
      <c r="I574" s="87"/>
    </row>
    <row r="575" spans="3:9" x14ac:dyDescent="0.2">
      <c r="C575" s="72">
        <v>0.13333300000000001</v>
      </c>
      <c r="D575" s="72">
        <v>0</v>
      </c>
      <c r="E575" s="72">
        <v>0.6</v>
      </c>
      <c r="F575" s="72">
        <v>0.13333300000000001</v>
      </c>
      <c r="G575" s="72">
        <v>0.13333300000000001</v>
      </c>
      <c r="H575" s="87"/>
      <c r="I575" s="87"/>
    </row>
    <row r="576" spans="3:9" x14ac:dyDescent="0.2">
      <c r="C576" s="72">
        <v>0.13333300000000001</v>
      </c>
      <c r="D576" s="72">
        <v>0</v>
      </c>
      <c r="E576" s="72">
        <v>0.13333300000000001</v>
      </c>
      <c r="F576" s="72">
        <v>0.6</v>
      </c>
      <c r="G576" s="72">
        <v>0.13333300000000001</v>
      </c>
      <c r="H576" s="87"/>
      <c r="I576" s="87"/>
    </row>
    <row r="577" spans="3:9" x14ac:dyDescent="0.2">
      <c r="C577" s="72">
        <v>0.13333300000000001</v>
      </c>
      <c r="D577" s="72">
        <v>0</v>
      </c>
      <c r="E577" s="72">
        <v>0.13333300000000001</v>
      </c>
      <c r="F577" s="72">
        <v>0.13333300000000001</v>
      </c>
      <c r="G577" s="72">
        <v>0.6</v>
      </c>
      <c r="H577" s="87"/>
      <c r="I577" s="87"/>
    </row>
    <row r="578" spans="3:9" x14ac:dyDescent="0.2">
      <c r="C578" s="72">
        <v>0.125</v>
      </c>
      <c r="D578" s="72">
        <v>0.75</v>
      </c>
      <c r="E578" s="72">
        <v>0.125</v>
      </c>
      <c r="F578" s="72">
        <v>0</v>
      </c>
      <c r="G578" s="72">
        <v>0</v>
      </c>
      <c r="H578" s="87"/>
      <c r="I578" s="87"/>
    </row>
    <row r="579" spans="3:9" x14ac:dyDescent="0.2">
      <c r="C579" s="72">
        <v>0.125</v>
      </c>
      <c r="D579" s="72">
        <v>0.75</v>
      </c>
      <c r="E579" s="72">
        <v>0</v>
      </c>
      <c r="F579" s="72">
        <v>0.125</v>
      </c>
      <c r="G579" s="72">
        <v>0</v>
      </c>
      <c r="H579" s="87"/>
      <c r="I579" s="87"/>
    </row>
    <row r="580" spans="3:9" x14ac:dyDescent="0.2">
      <c r="C580" s="72">
        <v>0.125</v>
      </c>
      <c r="D580" s="72">
        <v>0.75</v>
      </c>
      <c r="E580" s="72">
        <v>0</v>
      </c>
      <c r="F580" s="72">
        <v>0</v>
      </c>
      <c r="G580" s="72">
        <v>0.125</v>
      </c>
      <c r="H580" s="87"/>
      <c r="I580" s="87"/>
    </row>
    <row r="581" spans="3:9" x14ac:dyDescent="0.2">
      <c r="C581" s="72">
        <v>0.125</v>
      </c>
      <c r="D581" s="72">
        <v>0.125</v>
      </c>
      <c r="E581" s="72">
        <v>0.75</v>
      </c>
      <c r="F581" s="72">
        <v>0</v>
      </c>
      <c r="G581" s="72">
        <v>0</v>
      </c>
      <c r="H581" s="87"/>
      <c r="I581" s="87"/>
    </row>
    <row r="582" spans="3:9" x14ac:dyDescent="0.2">
      <c r="C582" s="72">
        <v>0.125</v>
      </c>
      <c r="D582" s="72">
        <v>0.125</v>
      </c>
      <c r="E582" s="72">
        <v>0</v>
      </c>
      <c r="F582" s="72">
        <v>0.75</v>
      </c>
      <c r="G582" s="72">
        <v>0</v>
      </c>
      <c r="H582" s="87"/>
      <c r="I582" s="87"/>
    </row>
    <row r="583" spans="3:9" x14ac:dyDescent="0.2">
      <c r="C583" s="72">
        <v>0.125</v>
      </c>
      <c r="D583" s="72">
        <v>0.125</v>
      </c>
      <c r="E583" s="72">
        <v>0</v>
      </c>
      <c r="F583" s="72">
        <v>0</v>
      </c>
      <c r="G583" s="72">
        <v>0.75</v>
      </c>
      <c r="H583" s="87"/>
      <c r="I583" s="87"/>
    </row>
    <row r="584" spans="3:9" x14ac:dyDescent="0.2">
      <c r="C584" s="72">
        <v>0.125</v>
      </c>
      <c r="D584" s="72">
        <v>0</v>
      </c>
      <c r="E584" s="72">
        <v>0.75</v>
      </c>
      <c r="F584" s="72">
        <v>0.125</v>
      </c>
      <c r="G584" s="72">
        <v>0</v>
      </c>
      <c r="H584" s="87"/>
      <c r="I584" s="87"/>
    </row>
    <row r="585" spans="3:9" x14ac:dyDescent="0.2">
      <c r="C585" s="72">
        <v>0.125</v>
      </c>
      <c r="D585" s="72">
        <v>0</v>
      </c>
      <c r="E585" s="72">
        <v>0.75</v>
      </c>
      <c r="F585" s="72">
        <v>0</v>
      </c>
      <c r="G585" s="72">
        <v>0.125</v>
      </c>
      <c r="H585" s="87"/>
      <c r="I585" s="87"/>
    </row>
    <row r="586" spans="3:9" x14ac:dyDescent="0.2">
      <c r="C586" s="72">
        <v>0.125</v>
      </c>
      <c r="D586" s="72">
        <v>0</v>
      </c>
      <c r="E586" s="72">
        <v>0.125</v>
      </c>
      <c r="F586" s="72">
        <v>0.75</v>
      </c>
      <c r="G586" s="72">
        <v>0</v>
      </c>
      <c r="H586" s="87"/>
      <c r="I586" s="87"/>
    </row>
    <row r="587" spans="3:9" x14ac:dyDescent="0.2">
      <c r="C587" s="72">
        <v>0.125</v>
      </c>
      <c r="D587" s="72">
        <v>0</v>
      </c>
      <c r="E587" s="72">
        <v>0.125</v>
      </c>
      <c r="F587" s="72">
        <v>0</v>
      </c>
      <c r="G587" s="72">
        <v>0.75</v>
      </c>
      <c r="H587" s="87"/>
      <c r="I587" s="87"/>
    </row>
    <row r="588" spans="3:9" x14ac:dyDescent="0.2">
      <c r="C588" s="72">
        <v>0.125</v>
      </c>
      <c r="D588" s="72">
        <v>0</v>
      </c>
      <c r="E588" s="72">
        <v>0</v>
      </c>
      <c r="F588" s="72">
        <v>0.75</v>
      </c>
      <c r="G588" s="72">
        <v>0.125</v>
      </c>
      <c r="H588" s="87"/>
      <c r="I588" s="87"/>
    </row>
    <row r="589" spans="3:9" x14ac:dyDescent="0.2">
      <c r="C589" s="72">
        <v>0.125</v>
      </c>
      <c r="D589" s="72">
        <v>0</v>
      </c>
      <c r="E589" s="72">
        <v>0</v>
      </c>
      <c r="F589" s="72">
        <v>0.125</v>
      </c>
      <c r="G589" s="72">
        <v>0.75</v>
      </c>
      <c r="H589" s="87"/>
      <c r="I589" s="87"/>
    </row>
    <row r="590" spans="3:9" x14ac:dyDescent="0.2">
      <c r="C590" s="72">
        <v>0.11666700000000001</v>
      </c>
      <c r="D590" s="72">
        <v>0.65</v>
      </c>
      <c r="E590" s="72">
        <v>0.11666700000000001</v>
      </c>
      <c r="F590" s="72">
        <v>0.11666700000000001</v>
      </c>
      <c r="G590" s="72">
        <v>0</v>
      </c>
      <c r="H590" s="87"/>
      <c r="I590" s="87"/>
    </row>
    <row r="591" spans="3:9" x14ac:dyDescent="0.2">
      <c r="C591" s="72">
        <v>0.11666700000000001</v>
      </c>
      <c r="D591" s="72">
        <v>0.65</v>
      </c>
      <c r="E591" s="72">
        <v>0.11666700000000001</v>
      </c>
      <c r="F591" s="72">
        <v>0</v>
      </c>
      <c r="G591" s="72">
        <v>0.11666700000000001</v>
      </c>
      <c r="H591" s="87"/>
      <c r="I591" s="87"/>
    </row>
    <row r="592" spans="3:9" x14ac:dyDescent="0.2">
      <c r="C592" s="72">
        <v>0.11666700000000001</v>
      </c>
      <c r="D592" s="72">
        <v>0.65</v>
      </c>
      <c r="E592" s="72">
        <v>0</v>
      </c>
      <c r="F592" s="72">
        <v>0.11666700000000001</v>
      </c>
      <c r="G592" s="72">
        <v>0.11666700000000001</v>
      </c>
      <c r="H592" s="87"/>
      <c r="I592" s="87"/>
    </row>
    <row r="593" spans="3:9" x14ac:dyDescent="0.2">
      <c r="C593" s="72">
        <v>0.11666700000000001</v>
      </c>
      <c r="D593" s="72">
        <v>0.11666700000000001</v>
      </c>
      <c r="E593" s="72">
        <v>0.65</v>
      </c>
      <c r="F593" s="72">
        <v>0.11666700000000001</v>
      </c>
      <c r="G593" s="72">
        <v>0</v>
      </c>
      <c r="H593" s="87"/>
      <c r="I593" s="87"/>
    </row>
    <row r="594" spans="3:9" x14ac:dyDescent="0.2">
      <c r="C594" s="72">
        <v>0.11666700000000001</v>
      </c>
      <c r="D594" s="72">
        <v>0.11666700000000001</v>
      </c>
      <c r="E594" s="72">
        <v>0.65</v>
      </c>
      <c r="F594" s="72">
        <v>0</v>
      </c>
      <c r="G594" s="72">
        <v>0.11666700000000001</v>
      </c>
      <c r="H594" s="87"/>
      <c r="I594" s="87"/>
    </row>
    <row r="595" spans="3:9" x14ac:dyDescent="0.2">
      <c r="C595" s="72">
        <v>0.11666700000000001</v>
      </c>
      <c r="D595" s="72">
        <v>0.11666700000000001</v>
      </c>
      <c r="E595" s="72">
        <v>0.11666700000000001</v>
      </c>
      <c r="F595" s="72">
        <v>0.65</v>
      </c>
      <c r="G595" s="72">
        <v>0</v>
      </c>
      <c r="H595" s="87"/>
      <c r="I595" s="87"/>
    </row>
    <row r="596" spans="3:9" x14ac:dyDescent="0.2">
      <c r="C596" s="72">
        <v>0.11666700000000001</v>
      </c>
      <c r="D596" s="72">
        <v>0.11666700000000001</v>
      </c>
      <c r="E596" s="72">
        <v>0.11666700000000001</v>
      </c>
      <c r="F596" s="72">
        <v>0</v>
      </c>
      <c r="G596" s="72">
        <v>0.65</v>
      </c>
      <c r="H596" s="87"/>
      <c r="I596" s="87"/>
    </row>
    <row r="597" spans="3:9" x14ac:dyDescent="0.2">
      <c r="C597" s="72">
        <v>0.11666700000000001</v>
      </c>
      <c r="D597" s="72">
        <v>0.11666700000000001</v>
      </c>
      <c r="E597" s="72">
        <v>0</v>
      </c>
      <c r="F597" s="72">
        <v>0.65</v>
      </c>
      <c r="G597" s="72">
        <v>0.11666700000000001</v>
      </c>
      <c r="H597" s="87"/>
      <c r="I597" s="87"/>
    </row>
    <row r="598" spans="3:9" x14ac:dyDescent="0.2">
      <c r="C598" s="72">
        <v>0.11666700000000001</v>
      </c>
      <c r="D598" s="72">
        <v>0.11666700000000001</v>
      </c>
      <c r="E598" s="72">
        <v>0</v>
      </c>
      <c r="F598" s="72">
        <v>0.11666700000000001</v>
      </c>
      <c r="G598" s="72">
        <v>0.65</v>
      </c>
      <c r="H598" s="87"/>
      <c r="I598" s="87"/>
    </row>
    <row r="599" spans="3:9" x14ac:dyDescent="0.2">
      <c r="C599" s="72">
        <v>0.11666700000000001</v>
      </c>
      <c r="D599" s="72">
        <v>0</v>
      </c>
      <c r="E599" s="72">
        <v>0.65</v>
      </c>
      <c r="F599" s="72">
        <v>0.11666700000000001</v>
      </c>
      <c r="G599" s="72">
        <v>0.11666700000000001</v>
      </c>
      <c r="H599" s="87"/>
      <c r="I599" s="87"/>
    </row>
    <row r="600" spans="3:9" x14ac:dyDescent="0.2">
      <c r="C600" s="72">
        <v>0.11666700000000001</v>
      </c>
      <c r="D600" s="72">
        <v>0</v>
      </c>
      <c r="E600" s="72">
        <v>0.11666700000000001</v>
      </c>
      <c r="F600" s="72">
        <v>0.65</v>
      </c>
      <c r="G600" s="72">
        <v>0.11666700000000001</v>
      </c>
      <c r="H600" s="87"/>
      <c r="I600" s="87"/>
    </row>
    <row r="601" spans="3:9" x14ac:dyDescent="0.2">
      <c r="C601" s="72">
        <v>0.11666700000000001</v>
      </c>
      <c r="D601" s="72">
        <v>0</v>
      </c>
      <c r="E601" s="72">
        <v>0.11666700000000001</v>
      </c>
      <c r="F601" s="72">
        <v>0.11666700000000001</v>
      </c>
      <c r="G601" s="72">
        <v>0.65</v>
      </c>
      <c r="H601" s="87"/>
      <c r="I601" s="87"/>
    </row>
    <row r="602" spans="3:9" x14ac:dyDescent="0.2">
      <c r="C602" s="72">
        <v>0.1</v>
      </c>
      <c r="D602" s="72">
        <v>0.9</v>
      </c>
      <c r="E602" s="72">
        <v>0</v>
      </c>
      <c r="F602" s="72">
        <v>0</v>
      </c>
      <c r="G602" s="72">
        <v>0</v>
      </c>
      <c r="H602" s="87"/>
      <c r="I602" s="87"/>
    </row>
    <row r="603" spans="3:9" x14ac:dyDescent="0.2">
      <c r="C603" s="72">
        <v>0.1</v>
      </c>
      <c r="D603" s="72">
        <v>0.8</v>
      </c>
      <c r="E603" s="72">
        <v>0.1</v>
      </c>
      <c r="F603" s="72">
        <v>0</v>
      </c>
      <c r="G603" s="72">
        <v>0</v>
      </c>
      <c r="H603" s="87"/>
      <c r="I603" s="87"/>
    </row>
    <row r="604" spans="3:9" x14ac:dyDescent="0.2">
      <c r="C604" s="72">
        <v>0.1</v>
      </c>
      <c r="D604" s="72">
        <v>0.8</v>
      </c>
      <c r="E604" s="72">
        <v>0</v>
      </c>
      <c r="F604" s="72">
        <v>0.1</v>
      </c>
      <c r="G604" s="72">
        <v>0</v>
      </c>
      <c r="H604" s="87"/>
      <c r="I604" s="87"/>
    </row>
    <row r="605" spans="3:9" x14ac:dyDescent="0.2">
      <c r="C605" s="72">
        <v>0.1</v>
      </c>
      <c r="D605" s="72">
        <v>0.8</v>
      </c>
      <c r="E605" s="72">
        <v>0</v>
      </c>
      <c r="F605" s="72">
        <v>0</v>
      </c>
      <c r="G605" s="72">
        <v>0.1</v>
      </c>
      <c r="H605" s="87"/>
      <c r="I605" s="87"/>
    </row>
    <row r="606" spans="3:9" x14ac:dyDescent="0.2">
      <c r="C606" s="72">
        <v>0.1</v>
      </c>
      <c r="D606" s="72">
        <v>0.7</v>
      </c>
      <c r="E606" s="72">
        <v>0.1</v>
      </c>
      <c r="F606" s="72">
        <v>0.1</v>
      </c>
      <c r="G606" s="72">
        <v>0</v>
      </c>
      <c r="H606" s="87"/>
      <c r="I606" s="87"/>
    </row>
    <row r="607" spans="3:9" x14ac:dyDescent="0.2">
      <c r="C607" s="72">
        <v>0.1</v>
      </c>
      <c r="D607" s="72">
        <v>0.7</v>
      </c>
      <c r="E607" s="72">
        <v>0.1</v>
      </c>
      <c r="F607" s="72">
        <v>0</v>
      </c>
      <c r="G607" s="72">
        <v>0.1</v>
      </c>
      <c r="H607" s="87"/>
      <c r="I607" s="87"/>
    </row>
    <row r="608" spans="3:9" x14ac:dyDescent="0.2">
      <c r="C608" s="72">
        <v>0.1</v>
      </c>
      <c r="D608" s="72">
        <v>0.7</v>
      </c>
      <c r="E608" s="72">
        <v>0</v>
      </c>
      <c r="F608" s="72">
        <v>0.1</v>
      </c>
      <c r="G608" s="72">
        <v>0.1</v>
      </c>
      <c r="H608" s="87"/>
      <c r="I608" s="87"/>
    </row>
    <row r="609" spans="3:9" x14ac:dyDescent="0.2">
      <c r="C609" s="72">
        <v>0.1</v>
      </c>
      <c r="D609" s="72">
        <v>0.45</v>
      </c>
      <c r="E609" s="72">
        <v>0.45</v>
      </c>
      <c r="F609" s="72">
        <v>0</v>
      </c>
      <c r="G609" s="72">
        <v>0</v>
      </c>
      <c r="H609" s="87"/>
      <c r="I609" s="87"/>
    </row>
    <row r="610" spans="3:9" x14ac:dyDescent="0.2">
      <c r="C610" s="72">
        <v>0.1</v>
      </c>
      <c r="D610" s="72">
        <v>0.45</v>
      </c>
      <c r="E610" s="72">
        <v>0</v>
      </c>
      <c r="F610" s="72">
        <v>0.45</v>
      </c>
      <c r="G610" s="72">
        <v>0</v>
      </c>
      <c r="H610" s="87"/>
      <c r="I610" s="87"/>
    </row>
    <row r="611" spans="3:9" x14ac:dyDescent="0.2">
      <c r="C611" s="72">
        <v>0.1</v>
      </c>
      <c r="D611" s="72">
        <v>0.45</v>
      </c>
      <c r="E611" s="72">
        <v>0</v>
      </c>
      <c r="F611" s="72">
        <v>0</v>
      </c>
      <c r="G611" s="72">
        <v>0.45</v>
      </c>
      <c r="H611" s="87"/>
      <c r="I611" s="87"/>
    </row>
    <row r="612" spans="3:9" x14ac:dyDescent="0.2">
      <c r="C612" s="72">
        <v>0.1</v>
      </c>
      <c r="D612" s="72">
        <v>0.3</v>
      </c>
      <c r="E612" s="72">
        <v>0.3</v>
      </c>
      <c r="F612" s="72">
        <v>0.3</v>
      </c>
      <c r="G612" s="72">
        <v>0</v>
      </c>
      <c r="H612" s="87"/>
      <c r="I612" s="87"/>
    </row>
    <row r="613" spans="3:9" x14ac:dyDescent="0.2">
      <c r="C613" s="72">
        <v>0.1</v>
      </c>
      <c r="D613" s="72">
        <v>0.3</v>
      </c>
      <c r="E613" s="72">
        <v>0.3</v>
      </c>
      <c r="F613" s="72">
        <v>0</v>
      </c>
      <c r="G613" s="72">
        <v>0.3</v>
      </c>
      <c r="H613" s="87"/>
      <c r="I613" s="87"/>
    </row>
    <row r="614" spans="3:9" x14ac:dyDescent="0.2">
      <c r="C614" s="72">
        <v>0.1</v>
      </c>
      <c r="D614" s="72">
        <v>0.3</v>
      </c>
      <c r="E614" s="72">
        <v>0</v>
      </c>
      <c r="F614" s="72">
        <v>0.3</v>
      </c>
      <c r="G614" s="72">
        <v>0.3</v>
      </c>
      <c r="H614" s="87"/>
      <c r="I614" s="87"/>
    </row>
    <row r="615" spans="3:9" x14ac:dyDescent="0.2">
      <c r="C615" s="72">
        <v>0.1</v>
      </c>
      <c r="D615" s="72">
        <v>0.1</v>
      </c>
      <c r="E615" s="72">
        <v>0.8</v>
      </c>
      <c r="F615" s="72">
        <v>0</v>
      </c>
      <c r="G615" s="72">
        <v>0</v>
      </c>
      <c r="H615" s="87"/>
      <c r="I615" s="87"/>
    </row>
    <row r="616" spans="3:9" x14ac:dyDescent="0.2">
      <c r="C616" s="72">
        <v>0.1</v>
      </c>
      <c r="D616" s="72">
        <v>0.1</v>
      </c>
      <c r="E616" s="72">
        <v>0.7</v>
      </c>
      <c r="F616" s="72">
        <v>0.1</v>
      </c>
      <c r="G616" s="72">
        <v>0</v>
      </c>
      <c r="H616" s="87"/>
      <c r="I616" s="87"/>
    </row>
    <row r="617" spans="3:9" x14ac:dyDescent="0.2">
      <c r="C617" s="72">
        <v>0.1</v>
      </c>
      <c r="D617" s="72">
        <v>0.1</v>
      </c>
      <c r="E617" s="72">
        <v>0.7</v>
      </c>
      <c r="F617" s="72">
        <v>0</v>
      </c>
      <c r="G617" s="72">
        <v>0.1</v>
      </c>
      <c r="H617" s="87"/>
      <c r="I617" s="87"/>
    </row>
    <row r="618" spans="3:9" x14ac:dyDescent="0.2">
      <c r="C618" s="72">
        <v>0.1</v>
      </c>
      <c r="D618" s="72">
        <v>0.1</v>
      </c>
      <c r="E618" s="72">
        <v>0.1</v>
      </c>
      <c r="F618" s="72">
        <v>0.7</v>
      </c>
      <c r="G618" s="72">
        <v>0</v>
      </c>
      <c r="H618" s="87"/>
      <c r="I618" s="87"/>
    </row>
    <row r="619" spans="3:9" x14ac:dyDescent="0.2">
      <c r="C619" s="72">
        <v>0.1</v>
      </c>
      <c r="D619" s="72">
        <v>0.1</v>
      </c>
      <c r="E619" s="72">
        <v>0.1</v>
      </c>
      <c r="F619" s="72">
        <v>0</v>
      </c>
      <c r="G619" s="72">
        <v>0.7</v>
      </c>
      <c r="H619" s="87"/>
      <c r="I619" s="87"/>
    </row>
    <row r="620" spans="3:9" x14ac:dyDescent="0.2">
      <c r="C620" s="72">
        <v>0.1</v>
      </c>
      <c r="D620" s="72">
        <v>0.1</v>
      </c>
      <c r="E620" s="72">
        <v>0</v>
      </c>
      <c r="F620" s="72">
        <v>0.8</v>
      </c>
      <c r="G620" s="72">
        <v>0</v>
      </c>
      <c r="H620" s="87"/>
      <c r="I620" s="87"/>
    </row>
    <row r="621" spans="3:9" x14ac:dyDescent="0.2">
      <c r="C621" s="72">
        <v>0.1</v>
      </c>
      <c r="D621" s="72">
        <v>0.1</v>
      </c>
      <c r="E621" s="72">
        <v>0</v>
      </c>
      <c r="F621" s="72">
        <v>0.7</v>
      </c>
      <c r="G621" s="72">
        <v>0.1</v>
      </c>
      <c r="H621" s="87"/>
      <c r="I621" s="87"/>
    </row>
    <row r="622" spans="3:9" x14ac:dyDescent="0.2">
      <c r="C622" s="72">
        <v>0.1</v>
      </c>
      <c r="D622" s="72">
        <v>0.1</v>
      </c>
      <c r="E622" s="72">
        <v>0</v>
      </c>
      <c r="F622" s="72">
        <v>0.1</v>
      </c>
      <c r="G622" s="72">
        <v>0.7</v>
      </c>
      <c r="H622" s="87"/>
      <c r="I622" s="87"/>
    </row>
    <row r="623" spans="3:9" x14ac:dyDescent="0.2">
      <c r="C623" s="72">
        <v>0.1</v>
      </c>
      <c r="D623" s="72">
        <v>0.1</v>
      </c>
      <c r="E623" s="72">
        <v>0</v>
      </c>
      <c r="F623" s="72">
        <v>0</v>
      </c>
      <c r="G623" s="72">
        <v>0.8</v>
      </c>
      <c r="H623" s="87"/>
      <c r="I623" s="87"/>
    </row>
    <row r="624" spans="3:9" x14ac:dyDescent="0.2">
      <c r="C624" s="72">
        <v>0.1</v>
      </c>
      <c r="D624" s="72">
        <v>0</v>
      </c>
      <c r="E624" s="72">
        <v>0.9</v>
      </c>
      <c r="F624" s="72">
        <v>0</v>
      </c>
      <c r="G624" s="72">
        <v>0</v>
      </c>
      <c r="H624" s="87"/>
      <c r="I624" s="87"/>
    </row>
    <row r="625" spans="3:9" x14ac:dyDescent="0.2">
      <c r="C625" s="72">
        <v>0.1</v>
      </c>
      <c r="D625" s="72">
        <v>0</v>
      </c>
      <c r="E625" s="72">
        <v>0.8</v>
      </c>
      <c r="F625" s="72">
        <v>0.1</v>
      </c>
      <c r="G625" s="72">
        <v>0</v>
      </c>
      <c r="H625" s="87"/>
      <c r="I625" s="87"/>
    </row>
    <row r="626" spans="3:9" x14ac:dyDescent="0.2">
      <c r="C626" s="72">
        <v>0.1</v>
      </c>
      <c r="D626" s="72">
        <v>0</v>
      </c>
      <c r="E626" s="72">
        <v>0.8</v>
      </c>
      <c r="F626" s="72">
        <v>0</v>
      </c>
      <c r="G626" s="72">
        <v>0.1</v>
      </c>
      <c r="H626" s="87"/>
      <c r="I626" s="87"/>
    </row>
    <row r="627" spans="3:9" x14ac:dyDescent="0.2">
      <c r="C627" s="72">
        <v>0.1</v>
      </c>
      <c r="D627" s="72">
        <v>0</v>
      </c>
      <c r="E627" s="72">
        <v>0.7</v>
      </c>
      <c r="F627" s="72">
        <v>0.1</v>
      </c>
      <c r="G627" s="72">
        <v>0.1</v>
      </c>
      <c r="H627" s="87"/>
      <c r="I627" s="87"/>
    </row>
    <row r="628" spans="3:9" x14ac:dyDescent="0.2">
      <c r="C628" s="72">
        <v>0.1</v>
      </c>
      <c r="D628" s="72">
        <v>0</v>
      </c>
      <c r="E628" s="72">
        <v>0.45</v>
      </c>
      <c r="F628" s="72">
        <v>0.45</v>
      </c>
      <c r="G628" s="72">
        <v>0</v>
      </c>
      <c r="H628" s="87"/>
      <c r="I628" s="87"/>
    </row>
    <row r="629" spans="3:9" x14ac:dyDescent="0.2">
      <c r="C629" s="72">
        <v>0.1</v>
      </c>
      <c r="D629" s="72">
        <v>0</v>
      </c>
      <c r="E629" s="72">
        <v>0.45</v>
      </c>
      <c r="F629" s="72">
        <v>0</v>
      </c>
      <c r="G629" s="72">
        <v>0.45</v>
      </c>
      <c r="H629" s="87"/>
      <c r="I629" s="87"/>
    </row>
    <row r="630" spans="3:9" x14ac:dyDescent="0.2">
      <c r="C630" s="72">
        <v>0.1</v>
      </c>
      <c r="D630" s="72">
        <v>0</v>
      </c>
      <c r="E630" s="72">
        <v>0.3</v>
      </c>
      <c r="F630" s="72">
        <v>0.3</v>
      </c>
      <c r="G630" s="72">
        <v>0.3</v>
      </c>
      <c r="H630" s="87"/>
      <c r="I630" s="87"/>
    </row>
    <row r="631" spans="3:9" x14ac:dyDescent="0.2">
      <c r="C631" s="72">
        <v>0.1</v>
      </c>
      <c r="D631" s="72">
        <v>0</v>
      </c>
      <c r="E631" s="72">
        <v>0.1</v>
      </c>
      <c r="F631" s="72">
        <v>0.8</v>
      </c>
      <c r="G631" s="72">
        <v>0</v>
      </c>
      <c r="H631" s="87"/>
      <c r="I631" s="87"/>
    </row>
    <row r="632" spans="3:9" x14ac:dyDescent="0.2">
      <c r="C632" s="72">
        <v>0.1</v>
      </c>
      <c r="D632" s="72">
        <v>0</v>
      </c>
      <c r="E632" s="72">
        <v>0.1</v>
      </c>
      <c r="F632" s="72">
        <v>0.7</v>
      </c>
      <c r="G632" s="72">
        <v>0.1</v>
      </c>
      <c r="H632" s="87"/>
      <c r="I632" s="87"/>
    </row>
    <row r="633" spans="3:9" x14ac:dyDescent="0.2">
      <c r="C633" s="72">
        <v>0.1</v>
      </c>
      <c r="D633" s="72">
        <v>0</v>
      </c>
      <c r="E633" s="72">
        <v>0.1</v>
      </c>
      <c r="F633" s="72">
        <v>0.1</v>
      </c>
      <c r="G633" s="72">
        <v>0.7</v>
      </c>
      <c r="H633" s="87"/>
      <c r="I633" s="87"/>
    </row>
    <row r="634" spans="3:9" x14ac:dyDescent="0.2">
      <c r="C634" s="72">
        <v>0.1</v>
      </c>
      <c r="D634" s="72">
        <v>0</v>
      </c>
      <c r="E634" s="72">
        <v>0.1</v>
      </c>
      <c r="F634" s="72">
        <v>0</v>
      </c>
      <c r="G634" s="72">
        <v>0.8</v>
      </c>
      <c r="H634" s="87"/>
      <c r="I634" s="87"/>
    </row>
    <row r="635" spans="3:9" x14ac:dyDescent="0.2">
      <c r="C635" s="72">
        <v>0.1</v>
      </c>
      <c r="D635" s="72">
        <v>0</v>
      </c>
      <c r="E635" s="72">
        <v>0</v>
      </c>
      <c r="F635" s="72">
        <v>0.9</v>
      </c>
      <c r="G635" s="72">
        <v>0</v>
      </c>
      <c r="H635" s="87"/>
      <c r="I635" s="87"/>
    </row>
    <row r="636" spans="3:9" x14ac:dyDescent="0.2">
      <c r="C636" s="72">
        <v>0.1</v>
      </c>
      <c r="D636" s="72">
        <v>0</v>
      </c>
      <c r="E636" s="72">
        <v>0</v>
      </c>
      <c r="F636" s="72">
        <v>0.8</v>
      </c>
      <c r="G636" s="72">
        <v>0.1</v>
      </c>
      <c r="H636" s="87"/>
      <c r="I636" s="87"/>
    </row>
    <row r="637" spans="3:9" x14ac:dyDescent="0.2">
      <c r="C637" s="72">
        <v>0.1</v>
      </c>
      <c r="D637" s="72">
        <v>0</v>
      </c>
      <c r="E637" s="72">
        <v>0</v>
      </c>
      <c r="F637" s="72">
        <v>0.45</v>
      </c>
      <c r="G637" s="72">
        <v>0.45</v>
      </c>
      <c r="H637" s="87"/>
      <c r="I637" s="87"/>
    </row>
    <row r="638" spans="3:9" x14ac:dyDescent="0.2">
      <c r="C638" s="72">
        <v>0.1</v>
      </c>
      <c r="D638" s="72">
        <v>0</v>
      </c>
      <c r="E638" s="72">
        <v>0</v>
      </c>
      <c r="F638" s="72">
        <v>0.1</v>
      </c>
      <c r="G638" s="72">
        <v>0.8</v>
      </c>
      <c r="H638" s="87"/>
      <c r="I638" s="87"/>
    </row>
    <row r="639" spans="3:9" x14ac:dyDescent="0.2">
      <c r="C639" s="72">
        <v>0.1</v>
      </c>
      <c r="D639" s="72">
        <v>0</v>
      </c>
      <c r="E639" s="72">
        <v>0</v>
      </c>
      <c r="F639" s="72">
        <v>0</v>
      </c>
      <c r="G639" s="72">
        <v>0.9</v>
      </c>
      <c r="H639" s="87"/>
      <c r="I639" s="87"/>
    </row>
    <row r="640" spans="3:9" x14ac:dyDescent="0.2">
      <c r="C640" s="72">
        <v>8.3333000000000004E-2</v>
      </c>
      <c r="D640" s="72">
        <v>0.75</v>
      </c>
      <c r="E640" s="72">
        <v>8.3333000000000004E-2</v>
      </c>
      <c r="F640" s="72">
        <v>8.3333000000000004E-2</v>
      </c>
      <c r="G640" s="72">
        <v>0</v>
      </c>
      <c r="H640" s="87"/>
      <c r="I640" s="87"/>
    </row>
    <row r="641" spans="3:9" x14ac:dyDescent="0.2">
      <c r="C641" s="72">
        <v>8.3333000000000004E-2</v>
      </c>
      <c r="D641" s="72">
        <v>0.75</v>
      </c>
      <c r="E641" s="72">
        <v>8.3333000000000004E-2</v>
      </c>
      <c r="F641" s="72">
        <v>0</v>
      </c>
      <c r="G641" s="72">
        <v>8.3333000000000004E-2</v>
      </c>
      <c r="H641" s="87"/>
      <c r="I641" s="87"/>
    </row>
    <row r="642" spans="3:9" x14ac:dyDescent="0.2">
      <c r="C642" s="72">
        <v>8.3333000000000004E-2</v>
      </c>
      <c r="D642" s="72">
        <v>0.75</v>
      </c>
      <c r="E642" s="72">
        <v>0</v>
      </c>
      <c r="F642" s="72">
        <v>8.3333000000000004E-2</v>
      </c>
      <c r="G642" s="72">
        <v>8.3333000000000004E-2</v>
      </c>
      <c r="H642" s="87"/>
      <c r="I642" s="87"/>
    </row>
    <row r="643" spans="3:9" x14ac:dyDescent="0.2">
      <c r="C643" s="72">
        <v>8.3333000000000004E-2</v>
      </c>
      <c r="D643" s="72">
        <v>8.3333000000000004E-2</v>
      </c>
      <c r="E643" s="72">
        <v>0.75</v>
      </c>
      <c r="F643" s="72">
        <v>8.3333000000000004E-2</v>
      </c>
      <c r="G643" s="72">
        <v>0</v>
      </c>
      <c r="H643" s="87"/>
      <c r="I643" s="87"/>
    </row>
    <row r="644" spans="3:9" x14ac:dyDescent="0.2">
      <c r="C644" s="72">
        <v>8.3333000000000004E-2</v>
      </c>
      <c r="D644" s="72">
        <v>8.3333000000000004E-2</v>
      </c>
      <c r="E644" s="72">
        <v>0.75</v>
      </c>
      <c r="F644" s="72">
        <v>0</v>
      </c>
      <c r="G644" s="72">
        <v>8.3333000000000004E-2</v>
      </c>
      <c r="H644" s="87"/>
      <c r="I644" s="87"/>
    </row>
    <row r="645" spans="3:9" x14ac:dyDescent="0.2">
      <c r="C645" s="72">
        <v>8.3333000000000004E-2</v>
      </c>
      <c r="D645" s="72">
        <v>8.3333000000000004E-2</v>
      </c>
      <c r="E645" s="72">
        <v>8.3333000000000004E-2</v>
      </c>
      <c r="F645" s="72">
        <v>0.75</v>
      </c>
      <c r="G645" s="72">
        <v>0</v>
      </c>
      <c r="H645" s="87"/>
      <c r="I645" s="87"/>
    </row>
    <row r="646" spans="3:9" x14ac:dyDescent="0.2">
      <c r="C646" s="72">
        <v>8.3333000000000004E-2</v>
      </c>
      <c r="D646" s="72">
        <v>8.3333000000000004E-2</v>
      </c>
      <c r="E646" s="72">
        <v>8.3333000000000004E-2</v>
      </c>
      <c r="F646" s="72">
        <v>0</v>
      </c>
      <c r="G646" s="72">
        <v>0.75</v>
      </c>
      <c r="H646" s="87"/>
      <c r="I646" s="87"/>
    </row>
    <row r="647" spans="3:9" x14ac:dyDescent="0.2">
      <c r="C647" s="72">
        <v>8.3333000000000004E-2</v>
      </c>
      <c r="D647" s="72">
        <v>8.3333000000000004E-2</v>
      </c>
      <c r="E647" s="72">
        <v>0</v>
      </c>
      <c r="F647" s="72">
        <v>0.75</v>
      </c>
      <c r="G647" s="72">
        <v>8.3333000000000004E-2</v>
      </c>
      <c r="H647" s="87"/>
      <c r="I647" s="87"/>
    </row>
    <row r="648" spans="3:9" x14ac:dyDescent="0.2">
      <c r="C648" s="72">
        <v>8.3333000000000004E-2</v>
      </c>
      <c r="D648" s="72">
        <v>8.3333000000000004E-2</v>
      </c>
      <c r="E648" s="72">
        <v>0</v>
      </c>
      <c r="F648" s="72">
        <v>8.3333000000000004E-2</v>
      </c>
      <c r="G648" s="72">
        <v>0.75</v>
      </c>
      <c r="H648" s="87"/>
      <c r="I648" s="87"/>
    </row>
    <row r="649" spans="3:9" x14ac:dyDescent="0.2">
      <c r="C649" s="72">
        <v>8.3333000000000004E-2</v>
      </c>
      <c r="D649" s="72">
        <v>0</v>
      </c>
      <c r="E649" s="72">
        <v>0.75</v>
      </c>
      <c r="F649" s="72">
        <v>8.3333000000000004E-2</v>
      </c>
      <c r="G649" s="72">
        <v>8.3333000000000004E-2</v>
      </c>
      <c r="H649" s="87"/>
      <c r="I649" s="87"/>
    </row>
    <row r="650" spans="3:9" x14ac:dyDescent="0.2">
      <c r="C650" s="72">
        <v>8.3333000000000004E-2</v>
      </c>
      <c r="D650" s="72">
        <v>0</v>
      </c>
      <c r="E650" s="72">
        <v>8.3333000000000004E-2</v>
      </c>
      <c r="F650" s="72">
        <v>0.75</v>
      </c>
      <c r="G650" s="72">
        <v>8.3333000000000004E-2</v>
      </c>
      <c r="H650" s="87"/>
      <c r="I650" s="87"/>
    </row>
    <row r="651" spans="3:9" x14ac:dyDescent="0.2">
      <c r="C651" s="72">
        <v>8.3333000000000004E-2</v>
      </c>
      <c r="D651" s="72">
        <v>0</v>
      </c>
      <c r="E651" s="72">
        <v>8.3333000000000004E-2</v>
      </c>
      <c r="F651" s="72">
        <v>8.3333000000000004E-2</v>
      </c>
      <c r="G651" s="72">
        <v>0.75</v>
      </c>
      <c r="H651" s="87"/>
      <c r="I651" s="87"/>
    </row>
    <row r="652" spans="3:9" x14ac:dyDescent="0.2">
      <c r="C652" s="72">
        <v>7.4999999999999997E-2</v>
      </c>
      <c r="D652" s="72">
        <v>0.85</v>
      </c>
      <c r="E652" s="72">
        <v>7.4999999999999997E-2</v>
      </c>
      <c r="F652" s="72">
        <v>0</v>
      </c>
      <c r="G652" s="72">
        <v>0</v>
      </c>
      <c r="H652" s="87"/>
      <c r="I652" s="87"/>
    </row>
    <row r="653" spans="3:9" x14ac:dyDescent="0.2">
      <c r="C653" s="72">
        <v>7.4999999999999997E-2</v>
      </c>
      <c r="D653" s="72">
        <v>0.85</v>
      </c>
      <c r="E653" s="72">
        <v>0</v>
      </c>
      <c r="F653" s="72">
        <v>7.4999999999999997E-2</v>
      </c>
      <c r="G653" s="72">
        <v>0</v>
      </c>
      <c r="H653" s="87"/>
      <c r="I653" s="87"/>
    </row>
    <row r="654" spans="3:9" x14ac:dyDescent="0.2">
      <c r="C654" s="72">
        <v>7.4999999999999997E-2</v>
      </c>
      <c r="D654" s="72">
        <v>0.85</v>
      </c>
      <c r="E654" s="72">
        <v>0</v>
      </c>
      <c r="F654" s="72">
        <v>0</v>
      </c>
      <c r="G654" s="72">
        <v>7.4999999999999997E-2</v>
      </c>
      <c r="H654" s="87"/>
      <c r="I654" s="87"/>
    </row>
    <row r="655" spans="3:9" x14ac:dyDescent="0.2">
      <c r="C655" s="72">
        <v>7.4999999999999997E-2</v>
      </c>
      <c r="D655" s="72">
        <v>7.4999999999999997E-2</v>
      </c>
      <c r="E655" s="72">
        <v>0.85</v>
      </c>
      <c r="F655" s="72">
        <v>0</v>
      </c>
      <c r="G655" s="72">
        <v>0</v>
      </c>
      <c r="H655" s="87"/>
      <c r="I655" s="87"/>
    </row>
    <row r="656" spans="3:9" x14ac:dyDescent="0.2">
      <c r="C656" s="72">
        <v>7.4999999999999997E-2</v>
      </c>
      <c r="D656" s="72">
        <v>7.4999999999999997E-2</v>
      </c>
      <c r="E656" s="72">
        <v>0</v>
      </c>
      <c r="F656" s="72">
        <v>0.85</v>
      </c>
      <c r="G656" s="72">
        <v>0</v>
      </c>
      <c r="H656" s="87"/>
      <c r="I656" s="87"/>
    </row>
    <row r="657" spans="3:9" x14ac:dyDescent="0.2">
      <c r="C657" s="72">
        <v>7.4999999999999997E-2</v>
      </c>
      <c r="D657" s="72">
        <v>7.4999999999999997E-2</v>
      </c>
      <c r="E657" s="72">
        <v>0</v>
      </c>
      <c r="F657" s="72">
        <v>0</v>
      </c>
      <c r="G657" s="72">
        <v>0.85</v>
      </c>
      <c r="H657" s="87"/>
      <c r="I657" s="87"/>
    </row>
    <row r="658" spans="3:9" x14ac:dyDescent="0.2">
      <c r="C658" s="72">
        <v>7.4999999999999997E-2</v>
      </c>
      <c r="D658" s="72">
        <v>0</v>
      </c>
      <c r="E658" s="72">
        <v>0.85</v>
      </c>
      <c r="F658" s="72">
        <v>7.4999999999999997E-2</v>
      </c>
      <c r="G658" s="72">
        <v>0</v>
      </c>
      <c r="H658" s="87"/>
      <c r="I658" s="87"/>
    </row>
    <row r="659" spans="3:9" x14ac:dyDescent="0.2">
      <c r="C659" s="72">
        <v>7.4999999999999997E-2</v>
      </c>
      <c r="D659" s="72">
        <v>0</v>
      </c>
      <c r="E659" s="72">
        <v>0.85</v>
      </c>
      <c r="F659" s="72">
        <v>0</v>
      </c>
      <c r="G659" s="72">
        <v>7.4999999999999997E-2</v>
      </c>
      <c r="H659" s="87"/>
      <c r="I659" s="87"/>
    </row>
    <row r="660" spans="3:9" x14ac:dyDescent="0.2">
      <c r="C660" s="72">
        <v>7.4999999999999997E-2</v>
      </c>
      <c r="D660" s="72">
        <v>0</v>
      </c>
      <c r="E660" s="72">
        <v>7.4999999999999997E-2</v>
      </c>
      <c r="F660" s="72">
        <v>0.85</v>
      </c>
      <c r="G660" s="72">
        <v>0</v>
      </c>
      <c r="H660" s="87"/>
      <c r="I660" s="87"/>
    </row>
    <row r="661" spans="3:9" x14ac:dyDescent="0.2">
      <c r="C661" s="72">
        <v>7.4999999999999997E-2</v>
      </c>
      <c r="D661" s="72">
        <v>0</v>
      </c>
      <c r="E661" s="72">
        <v>7.4999999999999997E-2</v>
      </c>
      <c r="F661" s="72">
        <v>0</v>
      </c>
      <c r="G661" s="72">
        <v>0.85</v>
      </c>
      <c r="H661" s="87"/>
      <c r="I661" s="87"/>
    </row>
    <row r="662" spans="3:9" x14ac:dyDescent="0.2">
      <c r="C662" s="72">
        <v>7.4999999999999997E-2</v>
      </c>
      <c r="D662" s="72">
        <v>0</v>
      </c>
      <c r="E662" s="72">
        <v>0</v>
      </c>
      <c r="F662" s="72">
        <v>0.85</v>
      </c>
      <c r="G662" s="72">
        <v>7.4999999999999997E-2</v>
      </c>
      <c r="H662" s="87"/>
      <c r="I662" s="87"/>
    </row>
    <row r="663" spans="3:9" x14ac:dyDescent="0.2">
      <c r="C663" s="72">
        <v>7.4999999999999997E-2</v>
      </c>
      <c r="D663" s="72">
        <v>0</v>
      </c>
      <c r="E663" s="72">
        <v>0</v>
      </c>
      <c r="F663" s="72">
        <v>7.4999999999999997E-2</v>
      </c>
      <c r="G663" s="72">
        <v>0.85</v>
      </c>
      <c r="H663" s="87"/>
      <c r="I663" s="87"/>
    </row>
    <row r="664" spans="3:9" x14ac:dyDescent="0.2">
      <c r="C664" s="72">
        <v>6.6667000000000004E-2</v>
      </c>
      <c r="D664" s="72">
        <v>0.8</v>
      </c>
      <c r="E664" s="72">
        <v>6.6667000000000004E-2</v>
      </c>
      <c r="F664" s="72">
        <v>6.6667000000000004E-2</v>
      </c>
      <c r="G664" s="72">
        <v>0</v>
      </c>
      <c r="H664" s="87"/>
      <c r="I664" s="87"/>
    </row>
    <row r="665" spans="3:9" x14ac:dyDescent="0.2">
      <c r="C665" s="72">
        <v>6.6667000000000004E-2</v>
      </c>
      <c r="D665" s="72">
        <v>0.8</v>
      </c>
      <c r="E665" s="72">
        <v>6.6667000000000004E-2</v>
      </c>
      <c r="F665" s="72">
        <v>0</v>
      </c>
      <c r="G665" s="72">
        <v>6.6667000000000004E-2</v>
      </c>
      <c r="H665" s="87"/>
      <c r="I665" s="87"/>
    </row>
    <row r="666" spans="3:9" x14ac:dyDescent="0.2">
      <c r="C666" s="72">
        <v>6.6667000000000004E-2</v>
      </c>
      <c r="D666" s="72">
        <v>0.8</v>
      </c>
      <c r="E666" s="72">
        <v>0</v>
      </c>
      <c r="F666" s="72">
        <v>6.6667000000000004E-2</v>
      </c>
      <c r="G666" s="72">
        <v>6.6667000000000004E-2</v>
      </c>
      <c r="H666" s="87"/>
      <c r="I666" s="87"/>
    </row>
    <row r="667" spans="3:9" x14ac:dyDescent="0.2">
      <c r="C667" s="72">
        <v>6.6667000000000004E-2</v>
      </c>
      <c r="D667" s="72">
        <v>6.6667000000000004E-2</v>
      </c>
      <c r="E667" s="72">
        <v>0.8</v>
      </c>
      <c r="F667" s="72">
        <v>6.6667000000000004E-2</v>
      </c>
      <c r="G667" s="72">
        <v>0</v>
      </c>
      <c r="H667" s="87"/>
      <c r="I667" s="87"/>
    </row>
    <row r="668" spans="3:9" x14ac:dyDescent="0.2">
      <c r="C668" s="72">
        <v>6.6667000000000004E-2</v>
      </c>
      <c r="D668" s="72">
        <v>6.6667000000000004E-2</v>
      </c>
      <c r="E668" s="72">
        <v>0.8</v>
      </c>
      <c r="F668" s="72">
        <v>0</v>
      </c>
      <c r="G668" s="72">
        <v>6.6667000000000004E-2</v>
      </c>
      <c r="H668" s="87"/>
      <c r="I668" s="87"/>
    </row>
    <row r="669" spans="3:9" x14ac:dyDescent="0.2">
      <c r="C669" s="72">
        <v>6.6667000000000004E-2</v>
      </c>
      <c r="D669" s="72">
        <v>6.6667000000000004E-2</v>
      </c>
      <c r="E669" s="72">
        <v>6.6667000000000004E-2</v>
      </c>
      <c r="F669" s="72">
        <v>0.8</v>
      </c>
      <c r="G669" s="72">
        <v>0</v>
      </c>
      <c r="H669" s="87"/>
      <c r="I669" s="87"/>
    </row>
    <row r="670" spans="3:9" x14ac:dyDescent="0.2">
      <c r="C670" s="72">
        <v>6.6667000000000004E-2</v>
      </c>
      <c r="D670" s="72">
        <v>6.6667000000000004E-2</v>
      </c>
      <c r="E670" s="72">
        <v>6.6667000000000004E-2</v>
      </c>
      <c r="F670" s="72">
        <v>0</v>
      </c>
      <c r="G670" s="72">
        <v>0.8</v>
      </c>
      <c r="H670" s="87"/>
      <c r="I670" s="87"/>
    </row>
    <row r="671" spans="3:9" x14ac:dyDescent="0.2">
      <c r="C671" s="72">
        <v>6.6667000000000004E-2</v>
      </c>
      <c r="D671" s="72">
        <v>6.6667000000000004E-2</v>
      </c>
      <c r="E671" s="72">
        <v>0</v>
      </c>
      <c r="F671" s="72">
        <v>0.8</v>
      </c>
      <c r="G671" s="72">
        <v>6.6667000000000004E-2</v>
      </c>
      <c r="H671" s="87"/>
      <c r="I671" s="87"/>
    </row>
    <row r="672" spans="3:9" x14ac:dyDescent="0.2">
      <c r="C672" s="72">
        <v>6.6667000000000004E-2</v>
      </c>
      <c r="D672" s="72">
        <v>6.6667000000000004E-2</v>
      </c>
      <c r="E672" s="72">
        <v>0</v>
      </c>
      <c r="F672" s="72">
        <v>6.6667000000000004E-2</v>
      </c>
      <c r="G672" s="72">
        <v>0.8</v>
      </c>
      <c r="H672" s="87"/>
      <c r="I672" s="87"/>
    </row>
    <row r="673" spans="3:9" x14ac:dyDescent="0.2">
      <c r="C673" s="72">
        <v>6.6667000000000004E-2</v>
      </c>
      <c r="D673" s="72">
        <v>0</v>
      </c>
      <c r="E673" s="72">
        <v>0.8</v>
      </c>
      <c r="F673" s="72">
        <v>6.6667000000000004E-2</v>
      </c>
      <c r="G673" s="72">
        <v>6.6667000000000004E-2</v>
      </c>
      <c r="H673" s="87"/>
      <c r="I673" s="87"/>
    </row>
    <row r="674" spans="3:9" x14ac:dyDescent="0.2">
      <c r="C674" s="72">
        <v>6.6667000000000004E-2</v>
      </c>
      <c r="D674" s="72">
        <v>0</v>
      </c>
      <c r="E674" s="72">
        <v>6.6667000000000004E-2</v>
      </c>
      <c r="F674" s="72">
        <v>0.8</v>
      </c>
      <c r="G674" s="72">
        <v>6.6667000000000004E-2</v>
      </c>
      <c r="H674" s="87"/>
      <c r="I674" s="87"/>
    </row>
    <row r="675" spans="3:9" x14ac:dyDescent="0.2">
      <c r="C675" s="72">
        <v>6.6667000000000004E-2</v>
      </c>
      <c r="D675" s="72">
        <v>0</v>
      </c>
      <c r="E675" s="72">
        <v>6.6667000000000004E-2</v>
      </c>
      <c r="F675" s="72">
        <v>6.6667000000000004E-2</v>
      </c>
      <c r="G675" s="72">
        <v>0.8</v>
      </c>
      <c r="H675" s="87"/>
      <c r="I675" s="87"/>
    </row>
    <row r="676" spans="3:9" x14ac:dyDescent="0.2">
      <c r="C676" s="72">
        <v>0.05</v>
      </c>
      <c r="D676" s="72">
        <v>0.95</v>
      </c>
      <c r="E676" s="72">
        <v>0</v>
      </c>
      <c r="F676" s="72">
        <v>0</v>
      </c>
      <c r="G676" s="72">
        <v>0</v>
      </c>
      <c r="H676" s="87"/>
      <c r="I676" s="87"/>
    </row>
    <row r="677" spans="3:9" x14ac:dyDescent="0.2">
      <c r="C677" s="72">
        <v>0.05</v>
      </c>
      <c r="D677" s="72">
        <v>0.9</v>
      </c>
      <c r="E677" s="72">
        <v>0.05</v>
      </c>
      <c r="F677" s="72">
        <v>0</v>
      </c>
      <c r="G677" s="72">
        <v>0</v>
      </c>
      <c r="H677" s="87"/>
      <c r="I677" s="87"/>
    </row>
    <row r="678" spans="3:9" x14ac:dyDescent="0.2">
      <c r="C678" s="72">
        <v>0.05</v>
      </c>
      <c r="D678" s="72">
        <v>0.9</v>
      </c>
      <c r="E678" s="72">
        <v>0</v>
      </c>
      <c r="F678" s="72">
        <v>0.05</v>
      </c>
      <c r="G678" s="72">
        <v>0</v>
      </c>
      <c r="H678" s="87"/>
      <c r="I678" s="87"/>
    </row>
    <row r="679" spans="3:9" x14ac:dyDescent="0.2">
      <c r="C679" s="72">
        <v>0.05</v>
      </c>
      <c r="D679" s="72">
        <v>0.9</v>
      </c>
      <c r="E679" s="72">
        <v>0</v>
      </c>
      <c r="F679" s="72">
        <v>0</v>
      </c>
      <c r="G679" s="72">
        <v>0.05</v>
      </c>
      <c r="H679" s="87"/>
      <c r="I679" s="87"/>
    </row>
    <row r="680" spans="3:9" x14ac:dyDescent="0.2">
      <c r="C680" s="72">
        <v>0.05</v>
      </c>
      <c r="D680" s="72">
        <v>0.85</v>
      </c>
      <c r="E680" s="72">
        <v>0.05</v>
      </c>
      <c r="F680" s="72">
        <v>0.05</v>
      </c>
      <c r="G680" s="72">
        <v>0</v>
      </c>
      <c r="H680" s="87"/>
      <c r="I680" s="87"/>
    </row>
    <row r="681" spans="3:9" x14ac:dyDescent="0.2">
      <c r="C681" s="72">
        <v>0.05</v>
      </c>
      <c r="D681" s="72">
        <v>0.85</v>
      </c>
      <c r="E681" s="72">
        <v>0.05</v>
      </c>
      <c r="F681" s="72">
        <v>0</v>
      </c>
      <c r="G681" s="72">
        <v>0.05</v>
      </c>
      <c r="H681" s="87"/>
      <c r="I681" s="87"/>
    </row>
    <row r="682" spans="3:9" x14ac:dyDescent="0.2">
      <c r="C682" s="72">
        <v>0.05</v>
      </c>
      <c r="D682" s="72">
        <v>0.85</v>
      </c>
      <c r="E682" s="72">
        <v>0</v>
      </c>
      <c r="F682" s="72">
        <v>0.05</v>
      </c>
      <c r="G682" s="72">
        <v>0.05</v>
      </c>
      <c r="H682" s="87"/>
      <c r="I682" s="87"/>
    </row>
    <row r="683" spans="3:9" x14ac:dyDescent="0.2">
      <c r="C683" s="72">
        <v>0.05</v>
      </c>
      <c r="D683" s="72">
        <v>0.47499999999999998</v>
      </c>
      <c r="E683" s="72">
        <v>0.47499999999999998</v>
      </c>
      <c r="F683" s="72">
        <v>0</v>
      </c>
      <c r="G683" s="72">
        <v>0</v>
      </c>
      <c r="H683" s="87"/>
      <c r="I683" s="87"/>
    </row>
    <row r="684" spans="3:9" x14ac:dyDescent="0.2">
      <c r="C684" s="72">
        <v>0.05</v>
      </c>
      <c r="D684" s="72">
        <v>0.47499999999999998</v>
      </c>
      <c r="E684" s="72">
        <v>0</v>
      </c>
      <c r="F684" s="72">
        <v>0.47499999999999998</v>
      </c>
      <c r="G684" s="72">
        <v>0</v>
      </c>
      <c r="H684" s="87"/>
      <c r="I684" s="87"/>
    </row>
    <row r="685" spans="3:9" x14ac:dyDescent="0.2">
      <c r="C685" s="72">
        <v>0.05</v>
      </c>
      <c r="D685" s="72">
        <v>0.47499999999999998</v>
      </c>
      <c r="E685" s="72">
        <v>0</v>
      </c>
      <c r="F685" s="72">
        <v>0</v>
      </c>
      <c r="G685" s="72">
        <v>0.47499999999999998</v>
      </c>
      <c r="H685" s="87"/>
      <c r="I685" s="87"/>
    </row>
    <row r="686" spans="3:9" x14ac:dyDescent="0.2">
      <c r="C686" s="72">
        <v>0.05</v>
      </c>
      <c r="D686" s="72">
        <v>0.31666699999999998</v>
      </c>
      <c r="E686" s="72">
        <v>0.31666699999999998</v>
      </c>
      <c r="F686" s="72">
        <v>0.31666699999999998</v>
      </c>
      <c r="G686" s="72">
        <v>0</v>
      </c>
      <c r="H686" s="87"/>
      <c r="I686" s="87"/>
    </row>
    <row r="687" spans="3:9" x14ac:dyDescent="0.2">
      <c r="C687" s="72">
        <v>0.05</v>
      </c>
      <c r="D687" s="72">
        <v>0.31666699999999998</v>
      </c>
      <c r="E687" s="72">
        <v>0.31666699999999998</v>
      </c>
      <c r="F687" s="72">
        <v>0</v>
      </c>
      <c r="G687" s="72">
        <v>0.31666699999999998</v>
      </c>
      <c r="H687" s="87"/>
      <c r="I687" s="87"/>
    </row>
    <row r="688" spans="3:9" x14ac:dyDescent="0.2">
      <c r="C688" s="72">
        <v>0.05</v>
      </c>
      <c r="D688" s="72">
        <v>0.31666699999999998</v>
      </c>
      <c r="E688" s="72">
        <v>0</v>
      </c>
      <c r="F688" s="72">
        <v>0.31666699999999998</v>
      </c>
      <c r="G688" s="72">
        <v>0.31666699999999998</v>
      </c>
      <c r="H688" s="87"/>
      <c r="I688" s="87"/>
    </row>
    <row r="689" spans="3:9" x14ac:dyDescent="0.2">
      <c r="C689" s="72">
        <v>0.05</v>
      </c>
      <c r="D689" s="72">
        <v>0.05</v>
      </c>
      <c r="E689" s="72">
        <v>0.9</v>
      </c>
      <c r="F689" s="72">
        <v>0</v>
      </c>
      <c r="G689" s="72">
        <v>0</v>
      </c>
      <c r="H689" s="87"/>
      <c r="I689" s="87"/>
    </row>
    <row r="690" spans="3:9" x14ac:dyDescent="0.2">
      <c r="C690" s="72">
        <v>0.05</v>
      </c>
      <c r="D690" s="72">
        <v>0.05</v>
      </c>
      <c r="E690" s="72">
        <v>0.85</v>
      </c>
      <c r="F690" s="72">
        <v>0.05</v>
      </c>
      <c r="G690" s="72">
        <v>0</v>
      </c>
      <c r="H690" s="87"/>
      <c r="I690" s="87"/>
    </row>
    <row r="691" spans="3:9" x14ac:dyDescent="0.2">
      <c r="C691" s="72">
        <v>0.05</v>
      </c>
      <c r="D691" s="72">
        <v>0.05</v>
      </c>
      <c r="E691" s="72">
        <v>0.85</v>
      </c>
      <c r="F691" s="72">
        <v>0</v>
      </c>
      <c r="G691" s="72">
        <v>0.05</v>
      </c>
      <c r="H691" s="87"/>
      <c r="I691" s="87"/>
    </row>
    <row r="692" spans="3:9" x14ac:dyDescent="0.2">
      <c r="C692" s="72">
        <v>0.05</v>
      </c>
      <c r="D692" s="72">
        <v>0.05</v>
      </c>
      <c r="E692" s="72">
        <v>0.05</v>
      </c>
      <c r="F692" s="72">
        <v>0.85</v>
      </c>
      <c r="G692" s="72">
        <v>0</v>
      </c>
      <c r="H692" s="87"/>
      <c r="I692" s="87"/>
    </row>
    <row r="693" spans="3:9" x14ac:dyDescent="0.2">
      <c r="C693" s="72">
        <v>0.05</v>
      </c>
      <c r="D693" s="72">
        <v>0.05</v>
      </c>
      <c r="E693" s="72">
        <v>0.05</v>
      </c>
      <c r="F693" s="72">
        <v>0</v>
      </c>
      <c r="G693" s="72">
        <v>0.85</v>
      </c>
      <c r="H693" s="87"/>
      <c r="I693" s="87"/>
    </row>
    <row r="694" spans="3:9" x14ac:dyDescent="0.2">
      <c r="C694" s="72">
        <v>0.05</v>
      </c>
      <c r="D694" s="72">
        <v>0.05</v>
      </c>
      <c r="E694" s="72">
        <v>0</v>
      </c>
      <c r="F694" s="72">
        <v>0.9</v>
      </c>
      <c r="G694" s="72">
        <v>0</v>
      </c>
      <c r="H694" s="87"/>
      <c r="I694" s="87"/>
    </row>
    <row r="695" spans="3:9" x14ac:dyDescent="0.2">
      <c r="C695" s="72">
        <v>0.05</v>
      </c>
      <c r="D695" s="72">
        <v>0.05</v>
      </c>
      <c r="E695" s="72">
        <v>0</v>
      </c>
      <c r="F695" s="72">
        <v>0.85</v>
      </c>
      <c r="G695" s="72">
        <v>0.05</v>
      </c>
      <c r="H695" s="87"/>
      <c r="I695" s="87"/>
    </row>
    <row r="696" spans="3:9" x14ac:dyDescent="0.2">
      <c r="C696" s="72">
        <v>0.05</v>
      </c>
      <c r="D696" s="72">
        <v>0.05</v>
      </c>
      <c r="E696" s="72">
        <v>0</v>
      </c>
      <c r="F696" s="72">
        <v>0.05</v>
      </c>
      <c r="G696" s="72">
        <v>0.85</v>
      </c>
      <c r="H696" s="87"/>
      <c r="I696" s="87"/>
    </row>
    <row r="697" spans="3:9" x14ac:dyDescent="0.2">
      <c r="C697" s="72">
        <v>0.05</v>
      </c>
      <c r="D697" s="72">
        <v>0.05</v>
      </c>
      <c r="E697" s="72">
        <v>0</v>
      </c>
      <c r="F697" s="72">
        <v>0</v>
      </c>
      <c r="G697" s="72">
        <v>0.9</v>
      </c>
      <c r="H697" s="87"/>
      <c r="I697" s="87"/>
    </row>
    <row r="698" spans="3:9" x14ac:dyDescent="0.2">
      <c r="C698" s="72">
        <v>0.05</v>
      </c>
      <c r="D698" s="72">
        <v>0</v>
      </c>
      <c r="E698" s="72">
        <v>0.95</v>
      </c>
      <c r="F698" s="72">
        <v>0</v>
      </c>
      <c r="G698" s="72">
        <v>0</v>
      </c>
      <c r="H698" s="87"/>
      <c r="I698" s="87"/>
    </row>
    <row r="699" spans="3:9" x14ac:dyDescent="0.2">
      <c r="C699" s="72">
        <v>0.05</v>
      </c>
      <c r="D699" s="72">
        <v>0</v>
      </c>
      <c r="E699" s="72">
        <v>0.9</v>
      </c>
      <c r="F699" s="72">
        <v>0.05</v>
      </c>
      <c r="G699" s="72">
        <v>0</v>
      </c>
      <c r="H699" s="87"/>
      <c r="I699" s="87"/>
    </row>
    <row r="700" spans="3:9" x14ac:dyDescent="0.2">
      <c r="C700" s="72">
        <v>0.05</v>
      </c>
      <c r="D700" s="72">
        <v>0</v>
      </c>
      <c r="E700" s="72">
        <v>0.9</v>
      </c>
      <c r="F700" s="72">
        <v>0</v>
      </c>
      <c r="G700" s="72">
        <v>0.05</v>
      </c>
      <c r="H700" s="87"/>
      <c r="I700" s="87"/>
    </row>
    <row r="701" spans="3:9" x14ac:dyDescent="0.2">
      <c r="C701" s="72">
        <v>0.05</v>
      </c>
      <c r="D701" s="72">
        <v>0</v>
      </c>
      <c r="E701" s="72">
        <v>0.85</v>
      </c>
      <c r="F701" s="72">
        <v>0.05</v>
      </c>
      <c r="G701" s="72">
        <v>0.05</v>
      </c>
      <c r="H701" s="87"/>
      <c r="I701" s="87"/>
    </row>
    <row r="702" spans="3:9" x14ac:dyDescent="0.2">
      <c r="C702" s="72">
        <v>0.05</v>
      </c>
      <c r="D702" s="72">
        <v>0</v>
      </c>
      <c r="E702" s="72">
        <v>0.47499999999999998</v>
      </c>
      <c r="F702" s="72">
        <v>0.47499999999999998</v>
      </c>
      <c r="G702" s="72">
        <v>0</v>
      </c>
      <c r="H702" s="87"/>
      <c r="I702" s="87"/>
    </row>
    <row r="703" spans="3:9" x14ac:dyDescent="0.2">
      <c r="C703" s="72">
        <v>0.05</v>
      </c>
      <c r="D703" s="72">
        <v>0</v>
      </c>
      <c r="E703" s="72">
        <v>0.47499999999999998</v>
      </c>
      <c r="F703" s="72">
        <v>0</v>
      </c>
      <c r="G703" s="72">
        <v>0.47499999999999998</v>
      </c>
      <c r="H703" s="87"/>
      <c r="I703" s="87"/>
    </row>
    <row r="704" spans="3:9" x14ac:dyDescent="0.2">
      <c r="C704" s="72">
        <v>0.05</v>
      </c>
      <c r="D704" s="72">
        <v>0</v>
      </c>
      <c r="E704" s="72">
        <v>0.31666699999999998</v>
      </c>
      <c r="F704" s="72">
        <v>0.31666699999999998</v>
      </c>
      <c r="G704" s="72">
        <v>0.31666699999999998</v>
      </c>
      <c r="H704" s="87"/>
      <c r="I704" s="87"/>
    </row>
    <row r="705" spans="3:9" x14ac:dyDescent="0.2">
      <c r="C705" s="72">
        <v>0.05</v>
      </c>
      <c r="D705" s="72">
        <v>0</v>
      </c>
      <c r="E705" s="72">
        <v>0.05</v>
      </c>
      <c r="F705" s="72">
        <v>0.9</v>
      </c>
      <c r="G705" s="72">
        <v>0</v>
      </c>
      <c r="H705" s="87"/>
      <c r="I705" s="87"/>
    </row>
    <row r="706" spans="3:9" x14ac:dyDescent="0.2">
      <c r="C706" s="72">
        <v>0.05</v>
      </c>
      <c r="D706" s="72">
        <v>0</v>
      </c>
      <c r="E706" s="72">
        <v>0.05</v>
      </c>
      <c r="F706" s="72">
        <v>0.85</v>
      </c>
      <c r="G706" s="72">
        <v>0.05</v>
      </c>
      <c r="H706" s="87"/>
      <c r="I706" s="87"/>
    </row>
    <row r="707" spans="3:9" x14ac:dyDescent="0.2">
      <c r="C707" s="72">
        <v>0.05</v>
      </c>
      <c r="D707" s="72">
        <v>0</v>
      </c>
      <c r="E707" s="72">
        <v>0.05</v>
      </c>
      <c r="F707" s="72">
        <v>0.05</v>
      </c>
      <c r="G707" s="72">
        <v>0.85</v>
      </c>
      <c r="H707" s="87"/>
      <c r="I707" s="87"/>
    </row>
    <row r="708" spans="3:9" x14ac:dyDescent="0.2">
      <c r="C708" s="72">
        <v>0.05</v>
      </c>
      <c r="D708" s="72">
        <v>0</v>
      </c>
      <c r="E708" s="72">
        <v>0.05</v>
      </c>
      <c r="F708" s="72">
        <v>0</v>
      </c>
      <c r="G708" s="72">
        <v>0.9</v>
      </c>
      <c r="H708" s="87"/>
      <c r="I708" s="87"/>
    </row>
    <row r="709" spans="3:9" x14ac:dyDescent="0.2">
      <c r="C709" s="72">
        <v>0.05</v>
      </c>
      <c r="D709" s="72">
        <v>0</v>
      </c>
      <c r="E709" s="72">
        <v>0</v>
      </c>
      <c r="F709" s="72">
        <v>0.95</v>
      </c>
      <c r="G709" s="72">
        <v>0</v>
      </c>
      <c r="H709" s="87"/>
      <c r="I709" s="87"/>
    </row>
    <row r="710" spans="3:9" x14ac:dyDescent="0.2">
      <c r="C710" s="72">
        <v>0.05</v>
      </c>
      <c r="D710" s="72">
        <v>0</v>
      </c>
      <c r="E710" s="72">
        <v>0</v>
      </c>
      <c r="F710" s="72">
        <v>0.9</v>
      </c>
      <c r="G710" s="72">
        <v>0.05</v>
      </c>
      <c r="H710" s="87"/>
      <c r="I710" s="87"/>
    </row>
    <row r="711" spans="3:9" x14ac:dyDescent="0.2">
      <c r="C711" s="72">
        <v>0.05</v>
      </c>
      <c r="D711" s="72">
        <v>0</v>
      </c>
      <c r="E711" s="72">
        <v>0</v>
      </c>
      <c r="F711" s="72">
        <v>0.47499999999999998</v>
      </c>
      <c r="G711" s="72">
        <v>0.47499999999999998</v>
      </c>
      <c r="H711" s="87"/>
      <c r="I711" s="87"/>
    </row>
    <row r="712" spans="3:9" x14ac:dyDescent="0.2">
      <c r="C712" s="72">
        <v>0.05</v>
      </c>
      <c r="D712" s="72">
        <v>0</v>
      </c>
      <c r="E712" s="72">
        <v>0</v>
      </c>
      <c r="F712" s="72">
        <v>0.05</v>
      </c>
      <c r="G712" s="72">
        <v>0.9</v>
      </c>
      <c r="H712" s="87"/>
      <c r="I712" s="87"/>
    </row>
    <row r="713" spans="3:9" x14ac:dyDescent="0.2">
      <c r="C713" s="72">
        <v>0.05</v>
      </c>
      <c r="D713" s="72">
        <v>0</v>
      </c>
      <c r="E713" s="72">
        <v>0</v>
      </c>
      <c r="F713" s="72">
        <v>0</v>
      </c>
      <c r="G713" s="72">
        <v>0.95</v>
      </c>
      <c r="H713" s="87"/>
      <c r="I713" s="87"/>
    </row>
    <row r="714" spans="3:9" x14ac:dyDescent="0.2">
      <c r="C714" s="72">
        <v>3.3333000000000002E-2</v>
      </c>
      <c r="D714" s="72">
        <v>0.9</v>
      </c>
      <c r="E714" s="72">
        <v>3.3333000000000002E-2</v>
      </c>
      <c r="F714" s="72">
        <v>3.3333000000000002E-2</v>
      </c>
      <c r="G714" s="72">
        <v>0</v>
      </c>
      <c r="H714" s="87"/>
      <c r="I714" s="87"/>
    </row>
    <row r="715" spans="3:9" x14ac:dyDescent="0.2">
      <c r="C715" s="72">
        <v>3.3333000000000002E-2</v>
      </c>
      <c r="D715" s="72">
        <v>0.9</v>
      </c>
      <c r="E715" s="72">
        <v>3.3333000000000002E-2</v>
      </c>
      <c r="F715" s="72">
        <v>0</v>
      </c>
      <c r="G715" s="72">
        <v>3.3333000000000002E-2</v>
      </c>
      <c r="H715" s="87"/>
      <c r="I715" s="87"/>
    </row>
    <row r="716" spans="3:9" x14ac:dyDescent="0.2">
      <c r="C716" s="72">
        <v>3.3333000000000002E-2</v>
      </c>
      <c r="D716" s="72">
        <v>0.9</v>
      </c>
      <c r="E716" s="72">
        <v>0</v>
      </c>
      <c r="F716" s="72">
        <v>3.3333000000000002E-2</v>
      </c>
      <c r="G716" s="72">
        <v>3.3333000000000002E-2</v>
      </c>
      <c r="H716" s="87"/>
      <c r="I716" s="87"/>
    </row>
    <row r="717" spans="3:9" x14ac:dyDescent="0.2">
      <c r="C717" s="72">
        <v>3.3333000000000002E-2</v>
      </c>
      <c r="D717" s="72">
        <v>3.3333000000000002E-2</v>
      </c>
      <c r="E717" s="72">
        <v>0.9</v>
      </c>
      <c r="F717" s="72">
        <v>3.3333000000000002E-2</v>
      </c>
      <c r="G717" s="72">
        <v>0</v>
      </c>
      <c r="H717" s="87"/>
      <c r="I717" s="87"/>
    </row>
    <row r="718" spans="3:9" x14ac:dyDescent="0.2">
      <c r="C718" s="72">
        <v>3.3333000000000002E-2</v>
      </c>
      <c r="D718" s="72">
        <v>3.3333000000000002E-2</v>
      </c>
      <c r="E718" s="72">
        <v>0.9</v>
      </c>
      <c r="F718" s="72">
        <v>0</v>
      </c>
      <c r="G718" s="72">
        <v>3.3333000000000002E-2</v>
      </c>
      <c r="H718" s="87"/>
      <c r="I718" s="87"/>
    </row>
    <row r="719" spans="3:9" x14ac:dyDescent="0.2">
      <c r="C719" s="72">
        <v>3.3333000000000002E-2</v>
      </c>
      <c r="D719" s="72">
        <v>3.3333000000000002E-2</v>
      </c>
      <c r="E719" s="72">
        <v>3.3333000000000002E-2</v>
      </c>
      <c r="F719" s="72">
        <v>0.9</v>
      </c>
      <c r="G719" s="72">
        <v>0</v>
      </c>
      <c r="H719" s="87"/>
      <c r="I719" s="87"/>
    </row>
    <row r="720" spans="3:9" x14ac:dyDescent="0.2">
      <c r="C720" s="72">
        <v>3.3333000000000002E-2</v>
      </c>
      <c r="D720" s="72">
        <v>3.3333000000000002E-2</v>
      </c>
      <c r="E720" s="72">
        <v>3.3333000000000002E-2</v>
      </c>
      <c r="F720" s="72">
        <v>0</v>
      </c>
      <c r="G720" s="72">
        <v>0.9</v>
      </c>
      <c r="H720" s="87"/>
      <c r="I720" s="87"/>
    </row>
    <row r="721" spans="3:9" x14ac:dyDescent="0.2">
      <c r="C721" s="72">
        <v>3.3333000000000002E-2</v>
      </c>
      <c r="D721" s="72">
        <v>3.3333000000000002E-2</v>
      </c>
      <c r="E721" s="72">
        <v>0</v>
      </c>
      <c r="F721" s="72">
        <v>0.9</v>
      </c>
      <c r="G721" s="72">
        <v>3.3333000000000002E-2</v>
      </c>
      <c r="H721" s="87"/>
      <c r="I721" s="87"/>
    </row>
    <row r="722" spans="3:9" x14ac:dyDescent="0.2">
      <c r="C722" s="72">
        <v>3.3333000000000002E-2</v>
      </c>
      <c r="D722" s="72">
        <v>3.3333000000000002E-2</v>
      </c>
      <c r="E722" s="72">
        <v>0</v>
      </c>
      <c r="F722" s="72">
        <v>3.3333000000000002E-2</v>
      </c>
      <c r="G722" s="72">
        <v>0.9</v>
      </c>
      <c r="H722" s="87"/>
      <c r="I722" s="87"/>
    </row>
    <row r="723" spans="3:9" x14ac:dyDescent="0.2">
      <c r="C723" s="72">
        <v>3.3333000000000002E-2</v>
      </c>
      <c r="D723" s="72">
        <v>0</v>
      </c>
      <c r="E723" s="72">
        <v>0.9</v>
      </c>
      <c r="F723" s="72">
        <v>3.3333000000000002E-2</v>
      </c>
      <c r="G723" s="72">
        <v>3.3333000000000002E-2</v>
      </c>
      <c r="H723" s="87"/>
      <c r="I723" s="87"/>
    </row>
    <row r="724" spans="3:9" x14ac:dyDescent="0.2">
      <c r="C724" s="72">
        <v>3.3333000000000002E-2</v>
      </c>
      <c r="D724" s="72">
        <v>0</v>
      </c>
      <c r="E724" s="72">
        <v>3.3333000000000002E-2</v>
      </c>
      <c r="F724" s="72">
        <v>0.9</v>
      </c>
      <c r="G724" s="72">
        <v>3.3333000000000002E-2</v>
      </c>
      <c r="H724" s="87"/>
      <c r="I724" s="87"/>
    </row>
    <row r="725" spans="3:9" x14ac:dyDescent="0.2">
      <c r="C725" s="72">
        <v>3.3333000000000002E-2</v>
      </c>
      <c r="D725" s="72">
        <v>0</v>
      </c>
      <c r="E725" s="72">
        <v>3.3333000000000002E-2</v>
      </c>
      <c r="F725" s="72">
        <v>3.3333000000000002E-2</v>
      </c>
      <c r="G725" s="72">
        <v>0.9</v>
      </c>
      <c r="H725" s="87"/>
      <c r="I725" s="87"/>
    </row>
    <row r="726" spans="3:9" x14ac:dyDescent="0.2">
      <c r="C726" s="72">
        <v>2.5000000000000001E-2</v>
      </c>
      <c r="D726" s="72">
        <v>0.95</v>
      </c>
      <c r="E726" s="72">
        <v>2.5000000000000001E-2</v>
      </c>
      <c r="F726" s="72">
        <v>0</v>
      </c>
      <c r="G726" s="72">
        <v>0</v>
      </c>
      <c r="H726" s="87"/>
      <c r="I726" s="87"/>
    </row>
    <row r="727" spans="3:9" x14ac:dyDescent="0.2">
      <c r="C727" s="72">
        <v>2.5000000000000001E-2</v>
      </c>
      <c r="D727" s="72">
        <v>0.95</v>
      </c>
      <c r="E727" s="72">
        <v>0</v>
      </c>
      <c r="F727" s="72">
        <v>2.5000000000000001E-2</v>
      </c>
      <c r="G727" s="72">
        <v>0</v>
      </c>
      <c r="H727" s="87"/>
      <c r="I727" s="87"/>
    </row>
    <row r="728" spans="3:9" x14ac:dyDescent="0.2">
      <c r="C728" s="72">
        <v>2.5000000000000001E-2</v>
      </c>
      <c r="D728" s="72">
        <v>0.95</v>
      </c>
      <c r="E728" s="72">
        <v>0</v>
      </c>
      <c r="F728" s="72">
        <v>0</v>
      </c>
      <c r="G728" s="72">
        <v>2.5000000000000001E-2</v>
      </c>
      <c r="H728" s="87"/>
      <c r="I728" s="87"/>
    </row>
    <row r="729" spans="3:9" x14ac:dyDescent="0.2">
      <c r="C729" s="72">
        <v>2.5000000000000001E-2</v>
      </c>
      <c r="D729" s="72">
        <v>2.5000000000000001E-2</v>
      </c>
      <c r="E729" s="72">
        <v>0.95</v>
      </c>
      <c r="F729" s="72">
        <v>0</v>
      </c>
      <c r="G729" s="72">
        <v>0</v>
      </c>
      <c r="H729" s="87"/>
      <c r="I729" s="87"/>
    </row>
    <row r="730" spans="3:9" x14ac:dyDescent="0.2">
      <c r="C730" s="72">
        <v>2.5000000000000001E-2</v>
      </c>
      <c r="D730" s="72">
        <v>2.5000000000000001E-2</v>
      </c>
      <c r="E730" s="72">
        <v>0</v>
      </c>
      <c r="F730" s="72">
        <v>0.95</v>
      </c>
      <c r="G730" s="72">
        <v>0</v>
      </c>
      <c r="H730" s="87"/>
      <c r="I730" s="87"/>
    </row>
    <row r="731" spans="3:9" x14ac:dyDescent="0.2">
      <c r="C731" s="72">
        <v>2.5000000000000001E-2</v>
      </c>
      <c r="D731" s="72">
        <v>2.5000000000000001E-2</v>
      </c>
      <c r="E731" s="72">
        <v>0</v>
      </c>
      <c r="F731" s="72">
        <v>0</v>
      </c>
      <c r="G731" s="72">
        <v>0.95</v>
      </c>
      <c r="H731" s="87"/>
      <c r="I731" s="87"/>
    </row>
    <row r="732" spans="3:9" x14ac:dyDescent="0.2">
      <c r="C732" s="72">
        <v>2.5000000000000001E-2</v>
      </c>
      <c r="D732" s="72">
        <v>0</v>
      </c>
      <c r="E732" s="72">
        <v>0.95</v>
      </c>
      <c r="F732" s="72">
        <v>2.5000000000000001E-2</v>
      </c>
      <c r="G732" s="72">
        <v>0</v>
      </c>
      <c r="H732" s="87"/>
      <c r="I732" s="87"/>
    </row>
    <row r="733" spans="3:9" x14ac:dyDescent="0.2">
      <c r="C733" s="72">
        <v>2.5000000000000001E-2</v>
      </c>
      <c r="D733" s="72">
        <v>0</v>
      </c>
      <c r="E733" s="72">
        <v>0.95</v>
      </c>
      <c r="F733" s="72">
        <v>0</v>
      </c>
      <c r="G733" s="72">
        <v>2.5000000000000001E-2</v>
      </c>
      <c r="H733" s="87"/>
      <c r="I733" s="87"/>
    </row>
    <row r="734" spans="3:9" x14ac:dyDescent="0.2">
      <c r="C734" s="72">
        <v>2.5000000000000001E-2</v>
      </c>
      <c r="D734" s="72">
        <v>0</v>
      </c>
      <c r="E734" s="72">
        <v>2.5000000000000001E-2</v>
      </c>
      <c r="F734" s="72">
        <v>0.95</v>
      </c>
      <c r="G734" s="72">
        <v>0</v>
      </c>
      <c r="H734" s="87"/>
      <c r="I734" s="87"/>
    </row>
    <row r="735" spans="3:9" x14ac:dyDescent="0.2">
      <c r="C735" s="72">
        <v>2.5000000000000001E-2</v>
      </c>
      <c r="D735" s="72">
        <v>0</v>
      </c>
      <c r="E735" s="72">
        <v>2.5000000000000001E-2</v>
      </c>
      <c r="F735" s="72">
        <v>0</v>
      </c>
      <c r="G735" s="72">
        <v>0.95</v>
      </c>
      <c r="H735" s="87"/>
      <c r="I735" s="87"/>
    </row>
    <row r="736" spans="3:9" x14ac:dyDescent="0.2">
      <c r="C736" s="72">
        <v>2.5000000000000001E-2</v>
      </c>
      <c r="D736" s="72">
        <v>0</v>
      </c>
      <c r="E736" s="72">
        <v>0</v>
      </c>
      <c r="F736" s="72">
        <v>0.95</v>
      </c>
      <c r="G736" s="72">
        <v>2.5000000000000001E-2</v>
      </c>
      <c r="H736" s="87"/>
      <c r="I736" s="87"/>
    </row>
    <row r="737" spans="3:9" x14ac:dyDescent="0.2">
      <c r="C737" s="72">
        <v>2.5000000000000001E-2</v>
      </c>
      <c r="D737" s="72">
        <v>0</v>
      </c>
      <c r="E737" s="72">
        <v>0</v>
      </c>
      <c r="F737" s="72">
        <v>2.5000000000000001E-2</v>
      </c>
      <c r="G737" s="72">
        <v>0.95</v>
      </c>
      <c r="H737" s="87"/>
      <c r="I737" s="87"/>
    </row>
    <row r="738" spans="3:9" x14ac:dyDescent="0.2">
      <c r="C738" s="72">
        <v>1.6667000000000001E-2</v>
      </c>
      <c r="D738" s="72">
        <v>0.95</v>
      </c>
      <c r="E738" s="72">
        <v>1.6667000000000001E-2</v>
      </c>
      <c r="F738" s="72">
        <v>1.6667000000000001E-2</v>
      </c>
      <c r="G738" s="72">
        <v>0</v>
      </c>
      <c r="H738" s="87"/>
      <c r="I738" s="87"/>
    </row>
    <row r="739" spans="3:9" x14ac:dyDescent="0.2">
      <c r="C739" s="72">
        <v>1.6667000000000001E-2</v>
      </c>
      <c r="D739" s="72">
        <v>0.95</v>
      </c>
      <c r="E739" s="72">
        <v>1.6667000000000001E-2</v>
      </c>
      <c r="F739" s="72">
        <v>0</v>
      </c>
      <c r="G739" s="72">
        <v>1.6667000000000001E-2</v>
      </c>
      <c r="H739" s="87"/>
      <c r="I739" s="87"/>
    </row>
    <row r="740" spans="3:9" x14ac:dyDescent="0.2">
      <c r="C740" s="72">
        <v>1.6667000000000001E-2</v>
      </c>
      <c r="D740" s="72">
        <v>0.95</v>
      </c>
      <c r="E740" s="72">
        <v>0</v>
      </c>
      <c r="F740" s="72">
        <v>1.6667000000000001E-2</v>
      </c>
      <c r="G740" s="72">
        <v>1.6667000000000001E-2</v>
      </c>
      <c r="H740" s="87"/>
      <c r="I740" s="87"/>
    </row>
    <row r="741" spans="3:9" x14ac:dyDescent="0.2">
      <c r="C741" s="72">
        <v>1.6667000000000001E-2</v>
      </c>
      <c r="D741" s="72">
        <v>1.6667000000000001E-2</v>
      </c>
      <c r="E741" s="72">
        <v>0.95</v>
      </c>
      <c r="F741" s="72">
        <v>1.6667000000000001E-2</v>
      </c>
      <c r="G741" s="72">
        <v>0</v>
      </c>
      <c r="H741" s="87"/>
      <c r="I741" s="87"/>
    </row>
    <row r="742" spans="3:9" x14ac:dyDescent="0.2">
      <c r="C742" s="72">
        <v>1.6667000000000001E-2</v>
      </c>
      <c r="D742" s="72">
        <v>1.6667000000000001E-2</v>
      </c>
      <c r="E742" s="72">
        <v>0.95</v>
      </c>
      <c r="F742" s="72">
        <v>0</v>
      </c>
      <c r="G742" s="72">
        <v>1.6667000000000001E-2</v>
      </c>
      <c r="H742" s="87"/>
      <c r="I742" s="87"/>
    </row>
    <row r="743" spans="3:9" x14ac:dyDescent="0.2">
      <c r="C743" s="72">
        <v>1.6667000000000001E-2</v>
      </c>
      <c r="D743" s="72">
        <v>1.6667000000000001E-2</v>
      </c>
      <c r="E743" s="72">
        <v>1.6667000000000001E-2</v>
      </c>
      <c r="F743" s="72">
        <v>0.95</v>
      </c>
      <c r="G743" s="72">
        <v>0</v>
      </c>
      <c r="H743" s="87"/>
      <c r="I743" s="87"/>
    </row>
    <row r="744" spans="3:9" x14ac:dyDescent="0.2">
      <c r="C744" s="72">
        <v>1.6667000000000001E-2</v>
      </c>
      <c r="D744" s="72">
        <v>1.6667000000000001E-2</v>
      </c>
      <c r="E744" s="72">
        <v>1.6667000000000001E-2</v>
      </c>
      <c r="F744" s="72">
        <v>0</v>
      </c>
      <c r="G744" s="72">
        <v>0.95</v>
      </c>
      <c r="H744" s="87"/>
      <c r="I744" s="87"/>
    </row>
    <row r="745" spans="3:9" x14ac:dyDescent="0.2">
      <c r="C745" s="72">
        <v>1.6667000000000001E-2</v>
      </c>
      <c r="D745" s="72">
        <v>1.6667000000000001E-2</v>
      </c>
      <c r="E745" s="72">
        <v>0</v>
      </c>
      <c r="F745" s="72">
        <v>0.95</v>
      </c>
      <c r="G745" s="72">
        <v>1.6667000000000001E-2</v>
      </c>
      <c r="H745" s="87"/>
      <c r="I745" s="87"/>
    </row>
    <row r="746" spans="3:9" x14ac:dyDescent="0.2">
      <c r="C746" s="72">
        <v>1.6667000000000001E-2</v>
      </c>
      <c r="D746" s="72">
        <v>1.6667000000000001E-2</v>
      </c>
      <c r="E746" s="72">
        <v>0</v>
      </c>
      <c r="F746" s="72">
        <v>1.6667000000000001E-2</v>
      </c>
      <c r="G746" s="72">
        <v>0.95</v>
      </c>
      <c r="H746" s="87"/>
      <c r="I746" s="87"/>
    </row>
    <row r="747" spans="3:9" x14ac:dyDescent="0.2">
      <c r="C747" s="72">
        <v>1.6667000000000001E-2</v>
      </c>
      <c r="D747" s="72">
        <v>0</v>
      </c>
      <c r="E747" s="72">
        <v>0.95</v>
      </c>
      <c r="F747" s="72">
        <v>1.6667000000000001E-2</v>
      </c>
      <c r="G747" s="72">
        <v>1.6667000000000001E-2</v>
      </c>
      <c r="H747" s="87"/>
      <c r="I747" s="87"/>
    </row>
    <row r="748" spans="3:9" x14ac:dyDescent="0.2">
      <c r="C748" s="72">
        <v>1.6667000000000001E-2</v>
      </c>
      <c r="D748" s="72">
        <v>0</v>
      </c>
      <c r="E748" s="72">
        <v>1.6667000000000001E-2</v>
      </c>
      <c r="F748" s="72">
        <v>0.95</v>
      </c>
      <c r="G748" s="72">
        <v>1.6667000000000001E-2</v>
      </c>
      <c r="H748" s="87"/>
      <c r="I748" s="87"/>
    </row>
    <row r="749" spans="3:9" x14ac:dyDescent="0.2">
      <c r="C749" s="72">
        <v>1.6667000000000001E-2</v>
      </c>
      <c r="D749" s="72">
        <v>0</v>
      </c>
      <c r="E749" s="72">
        <v>1.6667000000000001E-2</v>
      </c>
      <c r="F749" s="72">
        <v>1.6667000000000001E-2</v>
      </c>
      <c r="G749" s="72">
        <v>0.95</v>
      </c>
      <c r="H749" s="87"/>
      <c r="I749" s="87"/>
    </row>
    <row r="750" spans="3:9" x14ac:dyDescent="0.2">
      <c r="C750" s="72">
        <v>0</v>
      </c>
      <c r="D750" s="72">
        <v>1</v>
      </c>
      <c r="E750" s="72">
        <v>0</v>
      </c>
      <c r="F750" s="72">
        <v>0</v>
      </c>
      <c r="G750" s="72">
        <v>0</v>
      </c>
      <c r="H750" s="87"/>
      <c r="I750" s="87"/>
    </row>
    <row r="751" spans="3:9" x14ac:dyDescent="0.2">
      <c r="C751" s="72">
        <v>0</v>
      </c>
      <c r="D751" s="72">
        <v>0.95</v>
      </c>
      <c r="E751" s="72">
        <v>0.05</v>
      </c>
      <c r="F751" s="72">
        <v>0</v>
      </c>
      <c r="G751" s="72">
        <v>0</v>
      </c>
      <c r="H751" s="87"/>
      <c r="I751" s="87"/>
    </row>
    <row r="752" spans="3:9" x14ac:dyDescent="0.2">
      <c r="C752" s="72">
        <v>0</v>
      </c>
      <c r="D752" s="72">
        <v>0.95</v>
      </c>
      <c r="E752" s="72">
        <v>2.5000000000000001E-2</v>
      </c>
      <c r="F752" s="72">
        <v>2.5000000000000001E-2</v>
      </c>
      <c r="G752" s="72">
        <v>0</v>
      </c>
      <c r="H752" s="87"/>
      <c r="I752" s="87"/>
    </row>
    <row r="753" spans="3:9" x14ac:dyDescent="0.2">
      <c r="C753" s="72">
        <v>0</v>
      </c>
      <c r="D753" s="72">
        <v>0.95</v>
      </c>
      <c r="E753" s="72">
        <v>2.5000000000000001E-2</v>
      </c>
      <c r="F753" s="72">
        <v>0</v>
      </c>
      <c r="G753" s="72">
        <v>2.5000000000000001E-2</v>
      </c>
      <c r="H753" s="87"/>
      <c r="I753" s="87"/>
    </row>
    <row r="754" spans="3:9" x14ac:dyDescent="0.2">
      <c r="C754" s="72">
        <v>0</v>
      </c>
      <c r="D754" s="72">
        <v>0.95</v>
      </c>
      <c r="E754" s="72">
        <v>1.6667000000000001E-2</v>
      </c>
      <c r="F754" s="72">
        <v>1.6667000000000001E-2</v>
      </c>
      <c r="G754" s="72">
        <v>1.6667000000000001E-2</v>
      </c>
      <c r="H754" s="87"/>
      <c r="I754" s="87"/>
    </row>
    <row r="755" spans="3:9" x14ac:dyDescent="0.2">
      <c r="C755" s="72">
        <v>0</v>
      </c>
      <c r="D755" s="72">
        <v>0.95</v>
      </c>
      <c r="E755" s="72">
        <v>0</v>
      </c>
      <c r="F755" s="72">
        <v>0.05</v>
      </c>
      <c r="G755" s="72">
        <v>0</v>
      </c>
      <c r="H755" s="87"/>
      <c r="I755" s="87"/>
    </row>
    <row r="756" spans="3:9" x14ac:dyDescent="0.2">
      <c r="C756" s="72">
        <v>0</v>
      </c>
      <c r="D756" s="72">
        <v>0.95</v>
      </c>
      <c r="E756" s="72">
        <v>0</v>
      </c>
      <c r="F756" s="72">
        <v>2.5000000000000001E-2</v>
      </c>
      <c r="G756" s="72">
        <v>2.5000000000000001E-2</v>
      </c>
      <c r="H756" s="87"/>
      <c r="I756" s="87"/>
    </row>
    <row r="757" spans="3:9" x14ac:dyDescent="0.2">
      <c r="C757" s="72">
        <v>0</v>
      </c>
      <c r="D757" s="72">
        <v>0.95</v>
      </c>
      <c r="E757" s="72">
        <v>0</v>
      </c>
      <c r="F757" s="72">
        <v>0</v>
      </c>
      <c r="G757" s="72">
        <v>0.05</v>
      </c>
      <c r="H757" s="87"/>
      <c r="I757" s="87"/>
    </row>
    <row r="758" spans="3:9" x14ac:dyDescent="0.2">
      <c r="C758" s="72">
        <v>0</v>
      </c>
      <c r="D758" s="72">
        <v>0.9</v>
      </c>
      <c r="E758" s="72">
        <v>0.1</v>
      </c>
      <c r="F758" s="72">
        <v>0</v>
      </c>
      <c r="G758" s="72">
        <v>0</v>
      </c>
      <c r="H758" s="87"/>
      <c r="I758" s="87"/>
    </row>
    <row r="759" spans="3:9" x14ac:dyDescent="0.2">
      <c r="C759" s="72">
        <v>0</v>
      </c>
      <c r="D759" s="72">
        <v>0.9</v>
      </c>
      <c r="E759" s="72">
        <v>0.05</v>
      </c>
      <c r="F759" s="72">
        <v>0.05</v>
      </c>
      <c r="G759" s="72">
        <v>0</v>
      </c>
      <c r="H759" s="87"/>
      <c r="I759" s="87"/>
    </row>
    <row r="760" spans="3:9" x14ac:dyDescent="0.2">
      <c r="C760" s="72">
        <v>0</v>
      </c>
      <c r="D760" s="72">
        <v>0.9</v>
      </c>
      <c r="E760" s="72">
        <v>0.05</v>
      </c>
      <c r="F760" s="72">
        <v>0</v>
      </c>
      <c r="G760" s="72">
        <v>0.05</v>
      </c>
      <c r="H760" s="87"/>
      <c r="I760" s="87"/>
    </row>
    <row r="761" spans="3:9" x14ac:dyDescent="0.2">
      <c r="C761" s="72">
        <v>0</v>
      </c>
      <c r="D761" s="72">
        <v>0.9</v>
      </c>
      <c r="E761" s="72">
        <v>3.3333000000000002E-2</v>
      </c>
      <c r="F761" s="72">
        <v>3.3333000000000002E-2</v>
      </c>
      <c r="G761" s="72">
        <v>3.3333000000000002E-2</v>
      </c>
      <c r="H761" s="87"/>
      <c r="I761" s="87"/>
    </row>
    <row r="762" spans="3:9" x14ac:dyDescent="0.2">
      <c r="C762" s="72">
        <v>0</v>
      </c>
      <c r="D762" s="72">
        <v>0.9</v>
      </c>
      <c r="E762" s="72">
        <v>0</v>
      </c>
      <c r="F762" s="72">
        <v>0.1</v>
      </c>
      <c r="G762" s="72">
        <v>0</v>
      </c>
      <c r="H762" s="87"/>
      <c r="I762" s="87"/>
    </row>
    <row r="763" spans="3:9" x14ac:dyDescent="0.2">
      <c r="C763" s="72">
        <v>0</v>
      </c>
      <c r="D763" s="72">
        <v>0.9</v>
      </c>
      <c r="E763" s="72">
        <v>0</v>
      </c>
      <c r="F763" s="72">
        <v>0.05</v>
      </c>
      <c r="G763" s="72">
        <v>0.05</v>
      </c>
      <c r="H763" s="87"/>
      <c r="I763" s="87"/>
    </row>
    <row r="764" spans="3:9" x14ac:dyDescent="0.2">
      <c r="C764" s="72">
        <v>0</v>
      </c>
      <c r="D764" s="72">
        <v>0.9</v>
      </c>
      <c r="E764" s="72">
        <v>0</v>
      </c>
      <c r="F764" s="72">
        <v>0</v>
      </c>
      <c r="G764" s="72">
        <v>0.1</v>
      </c>
      <c r="H764" s="87"/>
      <c r="I764" s="87"/>
    </row>
    <row r="765" spans="3:9" x14ac:dyDescent="0.2">
      <c r="C765" s="72">
        <v>0</v>
      </c>
      <c r="D765" s="72">
        <v>0.85</v>
      </c>
      <c r="E765" s="72">
        <v>0.15</v>
      </c>
      <c r="F765" s="72">
        <v>0</v>
      </c>
      <c r="G765" s="72">
        <v>0</v>
      </c>
      <c r="H765" s="87"/>
      <c r="I765" s="87"/>
    </row>
    <row r="766" spans="3:9" x14ac:dyDescent="0.2">
      <c r="C766" s="72">
        <v>0</v>
      </c>
      <c r="D766" s="72">
        <v>0.85</v>
      </c>
      <c r="E766" s="72">
        <v>7.4999999999999997E-2</v>
      </c>
      <c r="F766" s="72">
        <v>7.4999999999999997E-2</v>
      </c>
      <c r="G766" s="72">
        <v>0</v>
      </c>
      <c r="H766" s="87"/>
      <c r="I766" s="87"/>
    </row>
    <row r="767" spans="3:9" x14ac:dyDescent="0.2">
      <c r="C767" s="72">
        <v>0</v>
      </c>
      <c r="D767" s="72">
        <v>0.85</v>
      </c>
      <c r="E767" s="72">
        <v>7.4999999999999997E-2</v>
      </c>
      <c r="F767" s="72">
        <v>0</v>
      </c>
      <c r="G767" s="72">
        <v>7.4999999999999997E-2</v>
      </c>
      <c r="H767" s="87"/>
      <c r="I767" s="87"/>
    </row>
    <row r="768" spans="3:9" x14ac:dyDescent="0.2">
      <c r="C768" s="72">
        <v>0</v>
      </c>
      <c r="D768" s="72">
        <v>0.85</v>
      </c>
      <c r="E768" s="72">
        <v>0.05</v>
      </c>
      <c r="F768" s="72">
        <v>0.05</v>
      </c>
      <c r="G768" s="72">
        <v>0.05</v>
      </c>
      <c r="H768" s="87"/>
      <c r="I768" s="87"/>
    </row>
    <row r="769" spans="3:9" x14ac:dyDescent="0.2">
      <c r="C769" s="72">
        <v>0</v>
      </c>
      <c r="D769" s="72">
        <v>0.85</v>
      </c>
      <c r="E769" s="72">
        <v>0</v>
      </c>
      <c r="F769" s="72">
        <v>0.15</v>
      </c>
      <c r="G769" s="72">
        <v>0</v>
      </c>
      <c r="H769" s="87"/>
      <c r="I769" s="87"/>
    </row>
    <row r="770" spans="3:9" x14ac:dyDescent="0.2">
      <c r="C770" s="72">
        <v>0</v>
      </c>
      <c r="D770" s="72">
        <v>0.85</v>
      </c>
      <c r="E770" s="72">
        <v>0</v>
      </c>
      <c r="F770" s="72">
        <v>7.4999999999999997E-2</v>
      </c>
      <c r="G770" s="72">
        <v>7.4999999999999997E-2</v>
      </c>
      <c r="H770" s="87"/>
      <c r="I770" s="87"/>
    </row>
    <row r="771" spans="3:9" x14ac:dyDescent="0.2">
      <c r="C771" s="72">
        <v>0</v>
      </c>
      <c r="D771" s="72">
        <v>0.85</v>
      </c>
      <c r="E771" s="72">
        <v>0</v>
      </c>
      <c r="F771" s="72">
        <v>0</v>
      </c>
      <c r="G771" s="72">
        <v>0.15</v>
      </c>
      <c r="H771" s="87"/>
      <c r="I771" s="87"/>
    </row>
    <row r="772" spans="3:9" x14ac:dyDescent="0.2">
      <c r="C772" s="72">
        <v>0</v>
      </c>
      <c r="D772" s="72">
        <v>0.8</v>
      </c>
      <c r="E772" s="72">
        <v>0.2</v>
      </c>
      <c r="F772" s="72">
        <v>0</v>
      </c>
      <c r="G772" s="72">
        <v>0</v>
      </c>
      <c r="H772" s="87"/>
      <c r="I772" s="87"/>
    </row>
    <row r="773" spans="3:9" x14ac:dyDescent="0.2">
      <c r="C773" s="72">
        <v>0</v>
      </c>
      <c r="D773" s="72">
        <v>0.8</v>
      </c>
      <c r="E773" s="72">
        <v>0.1</v>
      </c>
      <c r="F773" s="72">
        <v>0.1</v>
      </c>
      <c r="G773" s="72">
        <v>0</v>
      </c>
      <c r="H773" s="87"/>
      <c r="I773" s="87"/>
    </row>
    <row r="774" spans="3:9" x14ac:dyDescent="0.2">
      <c r="C774" s="72">
        <v>0</v>
      </c>
      <c r="D774" s="72">
        <v>0.8</v>
      </c>
      <c r="E774" s="72">
        <v>0.1</v>
      </c>
      <c r="F774" s="72">
        <v>0</v>
      </c>
      <c r="G774" s="72">
        <v>0.1</v>
      </c>
      <c r="H774" s="87"/>
      <c r="I774" s="87"/>
    </row>
    <row r="775" spans="3:9" x14ac:dyDescent="0.2">
      <c r="C775" s="72">
        <v>0</v>
      </c>
      <c r="D775" s="72">
        <v>0.8</v>
      </c>
      <c r="E775" s="72">
        <v>6.6667000000000004E-2</v>
      </c>
      <c r="F775" s="72">
        <v>6.6667000000000004E-2</v>
      </c>
      <c r="G775" s="72">
        <v>6.6667000000000004E-2</v>
      </c>
      <c r="H775" s="87"/>
      <c r="I775" s="87"/>
    </row>
    <row r="776" spans="3:9" x14ac:dyDescent="0.2">
      <c r="C776" s="72">
        <v>0</v>
      </c>
      <c r="D776" s="72">
        <v>0.8</v>
      </c>
      <c r="E776" s="72">
        <v>0</v>
      </c>
      <c r="F776" s="72">
        <v>0.2</v>
      </c>
      <c r="G776" s="72">
        <v>0</v>
      </c>
      <c r="H776" s="87"/>
      <c r="I776" s="87"/>
    </row>
    <row r="777" spans="3:9" x14ac:dyDescent="0.2">
      <c r="C777" s="72">
        <v>0</v>
      </c>
      <c r="D777" s="72">
        <v>0.8</v>
      </c>
      <c r="E777" s="72">
        <v>0</v>
      </c>
      <c r="F777" s="72">
        <v>0.1</v>
      </c>
      <c r="G777" s="72">
        <v>0.1</v>
      </c>
      <c r="H777" s="87"/>
      <c r="I777" s="87"/>
    </row>
    <row r="778" spans="3:9" x14ac:dyDescent="0.2">
      <c r="C778" s="72">
        <v>0</v>
      </c>
      <c r="D778" s="72">
        <v>0.8</v>
      </c>
      <c r="E778" s="72">
        <v>0</v>
      </c>
      <c r="F778" s="72">
        <v>0</v>
      </c>
      <c r="G778" s="72">
        <v>0.2</v>
      </c>
      <c r="H778" s="87"/>
      <c r="I778" s="87"/>
    </row>
    <row r="779" spans="3:9" x14ac:dyDescent="0.2">
      <c r="C779" s="72">
        <v>0</v>
      </c>
      <c r="D779" s="72">
        <v>0.75</v>
      </c>
      <c r="E779" s="72">
        <v>0.25</v>
      </c>
      <c r="F779" s="72">
        <v>0</v>
      </c>
      <c r="G779" s="72">
        <v>0</v>
      </c>
      <c r="H779" s="87"/>
      <c r="I779" s="87"/>
    </row>
    <row r="780" spans="3:9" x14ac:dyDescent="0.2">
      <c r="C780" s="72">
        <v>0</v>
      </c>
      <c r="D780" s="72">
        <v>0.75</v>
      </c>
      <c r="E780" s="72">
        <v>0.125</v>
      </c>
      <c r="F780" s="72">
        <v>0.125</v>
      </c>
      <c r="G780" s="72">
        <v>0</v>
      </c>
      <c r="H780" s="87"/>
      <c r="I780" s="87"/>
    </row>
    <row r="781" spans="3:9" x14ac:dyDescent="0.2">
      <c r="C781" s="72">
        <v>0</v>
      </c>
      <c r="D781" s="72">
        <v>0.75</v>
      </c>
      <c r="E781" s="72">
        <v>0.125</v>
      </c>
      <c r="F781" s="72">
        <v>0</v>
      </c>
      <c r="G781" s="72">
        <v>0.125</v>
      </c>
      <c r="H781" s="87"/>
      <c r="I781" s="87"/>
    </row>
    <row r="782" spans="3:9" x14ac:dyDescent="0.2">
      <c r="C782" s="72">
        <v>0</v>
      </c>
      <c r="D782" s="72">
        <v>0.75</v>
      </c>
      <c r="E782" s="72">
        <v>8.3333000000000004E-2</v>
      </c>
      <c r="F782" s="72">
        <v>8.3333000000000004E-2</v>
      </c>
      <c r="G782" s="72">
        <v>8.3333000000000004E-2</v>
      </c>
      <c r="H782" s="87"/>
      <c r="I782" s="87"/>
    </row>
    <row r="783" spans="3:9" x14ac:dyDescent="0.2">
      <c r="C783" s="72">
        <v>0</v>
      </c>
      <c r="D783" s="72">
        <v>0.75</v>
      </c>
      <c r="E783" s="72">
        <v>0</v>
      </c>
      <c r="F783" s="72">
        <v>0.25</v>
      </c>
      <c r="G783" s="72">
        <v>0</v>
      </c>
      <c r="H783" s="87"/>
      <c r="I783" s="87"/>
    </row>
    <row r="784" spans="3:9" x14ac:dyDescent="0.2">
      <c r="C784" s="72">
        <v>0</v>
      </c>
      <c r="D784" s="72">
        <v>0.75</v>
      </c>
      <c r="E784" s="72">
        <v>0</v>
      </c>
      <c r="F784" s="72">
        <v>0.125</v>
      </c>
      <c r="G784" s="72">
        <v>0.125</v>
      </c>
      <c r="H784" s="87"/>
      <c r="I784" s="87"/>
    </row>
    <row r="785" spans="3:9" x14ac:dyDescent="0.2">
      <c r="C785" s="72">
        <v>0</v>
      </c>
      <c r="D785" s="72">
        <v>0.75</v>
      </c>
      <c r="E785" s="72">
        <v>0</v>
      </c>
      <c r="F785" s="72">
        <v>0</v>
      </c>
      <c r="G785" s="72">
        <v>0.25</v>
      </c>
      <c r="H785" s="87"/>
      <c r="I785" s="87"/>
    </row>
    <row r="786" spans="3:9" x14ac:dyDescent="0.2">
      <c r="C786" s="72">
        <v>0</v>
      </c>
      <c r="D786" s="72">
        <v>0.7</v>
      </c>
      <c r="E786" s="72">
        <v>0.3</v>
      </c>
      <c r="F786" s="72">
        <v>0</v>
      </c>
      <c r="G786" s="72">
        <v>0</v>
      </c>
      <c r="H786" s="87"/>
      <c r="I786" s="87"/>
    </row>
    <row r="787" spans="3:9" x14ac:dyDescent="0.2">
      <c r="C787" s="72">
        <v>0</v>
      </c>
      <c r="D787" s="72">
        <v>0.7</v>
      </c>
      <c r="E787" s="72">
        <v>0.15</v>
      </c>
      <c r="F787" s="72">
        <v>0.15</v>
      </c>
      <c r="G787" s="72">
        <v>0</v>
      </c>
      <c r="H787" s="87"/>
      <c r="I787" s="87"/>
    </row>
    <row r="788" spans="3:9" x14ac:dyDescent="0.2">
      <c r="C788" s="72">
        <v>0</v>
      </c>
      <c r="D788" s="72">
        <v>0.7</v>
      </c>
      <c r="E788" s="72">
        <v>0.15</v>
      </c>
      <c r="F788" s="72">
        <v>0</v>
      </c>
      <c r="G788" s="72">
        <v>0.15</v>
      </c>
      <c r="H788" s="87"/>
      <c r="I788" s="87"/>
    </row>
    <row r="789" spans="3:9" x14ac:dyDescent="0.2">
      <c r="C789" s="72">
        <v>0</v>
      </c>
      <c r="D789" s="72">
        <v>0.7</v>
      </c>
      <c r="E789" s="72">
        <v>0.1</v>
      </c>
      <c r="F789" s="72">
        <v>0.1</v>
      </c>
      <c r="G789" s="72">
        <v>0.1</v>
      </c>
      <c r="H789" s="87"/>
      <c r="I789" s="87"/>
    </row>
    <row r="790" spans="3:9" x14ac:dyDescent="0.2">
      <c r="C790" s="72">
        <v>0</v>
      </c>
      <c r="D790" s="72">
        <v>0.7</v>
      </c>
      <c r="E790" s="72">
        <v>0</v>
      </c>
      <c r="F790" s="72">
        <v>0.3</v>
      </c>
      <c r="G790" s="72">
        <v>0</v>
      </c>
      <c r="H790" s="87"/>
      <c r="I790" s="87"/>
    </row>
    <row r="791" spans="3:9" x14ac:dyDescent="0.2">
      <c r="C791" s="72">
        <v>0</v>
      </c>
      <c r="D791" s="72">
        <v>0.7</v>
      </c>
      <c r="E791" s="72">
        <v>0</v>
      </c>
      <c r="F791" s="72">
        <v>0.15</v>
      </c>
      <c r="G791" s="72">
        <v>0.15</v>
      </c>
      <c r="H791" s="87"/>
      <c r="I791" s="87"/>
    </row>
    <row r="792" spans="3:9" x14ac:dyDescent="0.2">
      <c r="C792" s="72">
        <v>0</v>
      </c>
      <c r="D792" s="72">
        <v>0.7</v>
      </c>
      <c r="E792" s="72">
        <v>0</v>
      </c>
      <c r="F792" s="72">
        <v>0</v>
      </c>
      <c r="G792" s="72">
        <v>0.3</v>
      </c>
      <c r="H792" s="87"/>
      <c r="I792" s="87"/>
    </row>
    <row r="793" spans="3:9" x14ac:dyDescent="0.2">
      <c r="C793" s="72">
        <v>0</v>
      </c>
      <c r="D793" s="72">
        <v>0.65</v>
      </c>
      <c r="E793" s="72">
        <v>0.35</v>
      </c>
      <c r="F793" s="72">
        <v>0</v>
      </c>
      <c r="G793" s="72">
        <v>0</v>
      </c>
      <c r="H793" s="87"/>
      <c r="I793" s="87"/>
    </row>
    <row r="794" spans="3:9" x14ac:dyDescent="0.2">
      <c r="C794" s="72">
        <v>0</v>
      </c>
      <c r="D794" s="72">
        <v>0.65</v>
      </c>
      <c r="E794" s="72">
        <v>0.17499999999999999</v>
      </c>
      <c r="F794" s="72">
        <v>0.17499999999999999</v>
      </c>
      <c r="G794" s="72">
        <v>0</v>
      </c>
      <c r="H794" s="87"/>
      <c r="I794" s="87"/>
    </row>
    <row r="795" spans="3:9" x14ac:dyDescent="0.2">
      <c r="C795" s="72">
        <v>0</v>
      </c>
      <c r="D795" s="72">
        <v>0.65</v>
      </c>
      <c r="E795" s="72">
        <v>0.17499999999999999</v>
      </c>
      <c r="F795" s="72">
        <v>0</v>
      </c>
      <c r="G795" s="72">
        <v>0.17499999999999999</v>
      </c>
      <c r="H795" s="87"/>
      <c r="I795" s="87"/>
    </row>
    <row r="796" spans="3:9" x14ac:dyDescent="0.2">
      <c r="C796" s="72">
        <v>0</v>
      </c>
      <c r="D796" s="72">
        <v>0.65</v>
      </c>
      <c r="E796" s="72">
        <v>0.11666700000000001</v>
      </c>
      <c r="F796" s="72">
        <v>0.11666700000000001</v>
      </c>
      <c r="G796" s="72">
        <v>0.11666700000000001</v>
      </c>
      <c r="H796" s="87"/>
      <c r="I796" s="87"/>
    </row>
    <row r="797" spans="3:9" x14ac:dyDescent="0.2">
      <c r="C797" s="72">
        <v>0</v>
      </c>
      <c r="D797" s="72">
        <v>0.65</v>
      </c>
      <c r="E797" s="72">
        <v>0</v>
      </c>
      <c r="F797" s="72">
        <v>0.35</v>
      </c>
      <c r="G797" s="72">
        <v>0</v>
      </c>
      <c r="H797" s="87"/>
      <c r="I797" s="87"/>
    </row>
    <row r="798" spans="3:9" x14ac:dyDescent="0.2">
      <c r="C798" s="72">
        <v>0</v>
      </c>
      <c r="D798" s="72">
        <v>0.65</v>
      </c>
      <c r="E798" s="72">
        <v>0</v>
      </c>
      <c r="F798" s="72">
        <v>0.17499999999999999</v>
      </c>
      <c r="G798" s="72">
        <v>0.17499999999999999</v>
      </c>
      <c r="H798" s="87"/>
      <c r="I798" s="87"/>
    </row>
    <row r="799" spans="3:9" x14ac:dyDescent="0.2">
      <c r="C799" s="72">
        <v>0</v>
      </c>
      <c r="D799" s="72">
        <v>0.65</v>
      </c>
      <c r="E799" s="72">
        <v>0</v>
      </c>
      <c r="F799" s="72">
        <v>0</v>
      </c>
      <c r="G799" s="72">
        <v>0.35</v>
      </c>
      <c r="H799" s="87"/>
      <c r="I799" s="87"/>
    </row>
    <row r="800" spans="3:9" x14ac:dyDescent="0.2">
      <c r="C800" s="72">
        <v>0</v>
      </c>
      <c r="D800" s="72">
        <v>0.6</v>
      </c>
      <c r="E800" s="72">
        <v>0.4</v>
      </c>
      <c r="F800" s="72">
        <v>0</v>
      </c>
      <c r="G800" s="72">
        <v>0</v>
      </c>
      <c r="H800" s="87"/>
      <c r="I800" s="87"/>
    </row>
    <row r="801" spans="3:9" x14ac:dyDescent="0.2">
      <c r="C801" s="72">
        <v>0</v>
      </c>
      <c r="D801" s="72">
        <v>0.6</v>
      </c>
      <c r="E801" s="72">
        <v>0.2</v>
      </c>
      <c r="F801" s="72">
        <v>0.2</v>
      </c>
      <c r="G801" s="72">
        <v>0</v>
      </c>
      <c r="H801" s="87"/>
      <c r="I801" s="87"/>
    </row>
    <row r="802" spans="3:9" x14ac:dyDescent="0.2">
      <c r="C802" s="72">
        <v>0</v>
      </c>
      <c r="D802" s="72">
        <v>0.6</v>
      </c>
      <c r="E802" s="72">
        <v>0.2</v>
      </c>
      <c r="F802" s="72">
        <v>0</v>
      </c>
      <c r="G802" s="72">
        <v>0.2</v>
      </c>
      <c r="H802" s="87"/>
      <c r="I802" s="87"/>
    </row>
    <row r="803" spans="3:9" x14ac:dyDescent="0.2">
      <c r="C803" s="72">
        <v>0</v>
      </c>
      <c r="D803" s="72">
        <v>0.6</v>
      </c>
      <c r="E803" s="72">
        <v>0.13333300000000001</v>
      </c>
      <c r="F803" s="72">
        <v>0.13333300000000001</v>
      </c>
      <c r="G803" s="72">
        <v>0.13333300000000001</v>
      </c>
      <c r="H803" s="87"/>
      <c r="I803" s="87"/>
    </row>
    <row r="804" spans="3:9" x14ac:dyDescent="0.2">
      <c r="C804" s="72">
        <v>0</v>
      </c>
      <c r="D804" s="72">
        <v>0.6</v>
      </c>
      <c r="E804" s="72">
        <v>0</v>
      </c>
      <c r="F804" s="72">
        <v>0.4</v>
      </c>
      <c r="G804" s="72">
        <v>0</v>
      </c>
      <c r="H804" s="87"/>
      <c r="I804" s="87"/>
    </row>
    <row r="805" spans="3:9" x14ac:dyDescent="0.2">
      <c r="C805" s="72">
        <v>0</v>
      </c>
      <c r="D805" s="72">
        <v>0.6</v>
      </c>
      <c r="E805" s="72">
        <v>0</v>
      </c>
      <c r="F805" s="72">
        <v>0.2</v>
      </c>
      <c r="G805" s="72">
        <v>0.2</v>
      </c>
      <c r="H805" s="87"/>
      <c r="I805" s="87"/>
    </row>
    <row r="806" spans="3:9" x14ac:dyDescent="0.2">
      <c r="C806" s="72">
        <v>0</v>
      </c>
      <c r="D806" s="72">
        <v>0.6</v>
      </c>
      <c r="E806" s="72">
        <v>0</v>
      </c>
      <c r="F806" s="72">
        <v>0</v>
      </c>
      <c r="G806" s="72">
        <v>0.4</v>
      </c>
      <c r="H806" s="87"/>
      <c r="I806" s="87"/>
    </row>
    <row r="807" spans="3:9" x14ac:dyDescent="0.2">
      <c r="C807" s="72">
        <v>0</v>
      </c>
      <c r="D807" s="72">
        <v>0.55000000000000004</v>
      </c>
      <c r="E807" s="72">
        <v>0.45</v>
      </c>
      <c r="F807" s="72">
        <v>0</v>
      </c>
      <c r="G807" s="72">
        <v>0</v>
      </c>
      <c r="H807" s="87"/>
      <c r="I807" s="87"/>
    </row>
    <row r="808" spans="3:9" x14ac:dyDescent="0.2">
      <c r="C808" s="72">
        <v>0</v>
      </c>
      <c r="D808" s="72">
        <v>0.55000000000000004</v>
      </c>
      <c r="E808" s="72">
        <v>0.22500000000000001</v>
      </c>
      <c r="F808" s="72">
        <v>0.22500000000000001</v>
      </c>
      <c r="G808" s="72">
        <v>0</v>
      </c>
      <c r="H808" s="87"/>
      <c r="I808" s="87"/>
    </row>
    <row r="809" spans="3:9" x14ac:dyDescent="0.2">
      <c r="C809" s="72">
        <v>0</v>
      </c>
      <c r="D809" s="72">
        <v>0.55000000000000004</v>
      </c>
      <c r="E809" s="72">
        <v>0.22500000000000001</v>
      </c>
      <c r="F809" s="72">
        <v>0</v>
      </c>
      <c r="G809" s="72">
        <v>0.22500000000000001</v>
      </c>
      <c r="H809" s="87"/>
      <c r="I809" s="87"/>
    </row>
    <row r="810" spans="3:9" x14ac:dyDescent="0.2">
      <c r="C810" s="72">
        <v>0</v>
      </c>
      <c r="D810" s="72">
        <v>0.55000000000000004</v>
      </c>
      <c r="E810" s="72">
        <v>0.15</v>
      </c>
      <c r="F810" s="72">
        <v>0.15</v>
      </c>
      <c r="G810" s="72">
        <v>0.15</v>
      </c>
      <c r="H810" s="87"/>
      <c r="I810" s="87"/>
    </row>
    <row r="811" spans="3:9" x14ac:dyDescent="0.2">
      <c r="C811" s="72">
        <v>0</v>
      </c>
      <c r="D811" s="72">
        <v>0.55000000000000004</v>
      </c>
      <c r="E811" s="72">
        <v>0</v>
      </c>
      <c r="F811" s="72">
        <v>0.45</v>
      </c>
      <c r="G811" s="72">
        <v>0</v>
      </c>
      <c r="H811" s="87"/>
      <c r="I811" s="87"/>
    </row>
    <row r="812" spans="3:9" x14ac:dyDescent="0.2">
      <c r="C812" s="72">
        <v>0</v>
      </c>
      <c r="D812" s="72">
        <v>0.55000000000000004</v>
      </c>
      <c r="E812" s="72">
        <v>0</v>
      </c>
      <c r="F812" s="72">
        <v>0.22500000000000001</v>
      </c>
      <c r="G812" s="72">
        <v>0.22500000000000001</v>
      </c>
      <c r="H812" s="87"/>
      <c r="I812" s="87"/>
    </row>
    <row r="813" spans="3:9" x14ac:dyDescent="0.2">
      <c r="C813" s="72">
        <v>0</v>
      </c>
      <c r="D813" s="72">
        <v>0.55000000000000004</v>
      </c>
      <c r="E813" s="72">
        <v>0</v>
      </c>
      <c r="F813" s="72">
        <v>0</v>
      </c>
      <c r="G813" s="72">
        <v>0.45</v>
      </c>
      <c r="H813" s="87"/>
      <c r="I813" s="87"/>
    </row>
    <row r="814" spans="3:9" x14ac:dyDescent="0.2">
      <c r="C814" s="72">
        <v>0</v>
      </c>
      <c r="D814" s="72">
        <v>0.5</v>
      </c>
      <c r="E814" s="72">
        <v>0.5</v>
      </c>
      <c r="F814" s="72">
        <v>0</v>
      </c>
      <c r="G814" s="72">
        <v>0</v>
      </c>
      <c r="H814" s="87"/>
      <c r="I814" s="87"/>
    </row>
    <row r="815" spans="3:9" x14ac:dyDescent="0.2">
      <c r="C815" s="72">
        <v>0</v>
      </c>
      <c r="D815" s="72">
        <v>0.5</v>
      </c>
      <c r="E815" s="72">
        <v>0.25</v>
      </c>
      <c r="F815" s="72">
        <v>0.25</v>
      </c>
      <c r="G815" s="72">
        <v>0</v>
      </c>
      <c r="H815" s="87"/>
      <c r="I815" s="87"/>
    </row>
    <row r="816" spans="3:9" x14ac:dyDescent="0.2">
      <c r="C816" s="72">
        <v>0</v>
      </c>
      <c r="D816" s="72">
        <v>0.5</v>
      </c>
      <c r="E816" s="72">
        <v>0.25</v>
      </c>
      <c r="F816" s="72">
        <v>0</v>
      </c>
      <c r="G816" s="72">
        <v>0.25</v>
      </c>
      <c r="H816" s="87"/>
      <c r="I816" s="87"/>
    </row>
    <row r="817" spans="3:9" x14ac:dyDescent="0.2">
      <c r="C817" s="72">
        <v>0</v>
      </c>
      <c r="D817" s="72">
        <v>0.5</v>
      </c>
      <c r="E817" s="72">
        <v>0.16666700000000001</v>
      </c>
      <c r="F817" s="72">
        <v>0.16666700000000001</v>
      </c>
      <c r="G817" s="72">
        <v>0.16666700000000001</v>
      </c>
      <c r="H817" s="87"/>
      <c r="I817" s="87"/>
    </row>
    <row r="818" spans="3:9" x14ac:dyDescent="0.2">
      <c r="C818" s="72">
        <v>0</v>
      </c>
      <c r="D818" s="72">
        <v>0.5</v>
      </c>
      <c r="E818" s="72">
        <v>0</v>
      </c>
      <c r="F818" s="72">
        <v>0.5</v>
      </c>
      <c r="G818" s="72">
        <v>0</v>
      </c>
      <c r="H818" s="87"/>
      <c r="I818" s="87"/>
    </row>
    <row r="819" spans="3:9" x14ac:dyDescent="0.2">
      <c r="C819" s="72">
        <v>0</v>
      </c>
      <c r="D819" s="72">
        <v>0.5</v>
      </c>
      <c r="E819" s="72">
        <v>0</v>
      </c>
      <c r="F819" s="72">
        <v>0.25</v>
      </c>
      <c r="G819" s="72">
        <v>0.25</v>
      </c>
      <c r="H819" s="87"/>
      <c r="I819" s="87"/>
    </row>
    <row r="820" spans="3:9" x14ac:dyDescent="0.2">
      <c r="C820" s="72">
        <v>0</v>
      </c>
      <c r="D820" s="72">
        <v>0.5</v>
      </c>
      <c r="E820" s="72">
        <v>0</v>
      </c>
      <c r="F820" s="72">
        <v>0</v>
      </c>
      <c r="G820" s="72">
        <v>0.5</v>
      </c>
      <c r="H820" s="87"/>
      <c r="I820" s="87"/>
    </row>
    <row r="821" spans="3:9" x14ac:dyDescent="0.2">
      <c r="C821" s="72">
        <v>0</v>
      </c>
      <c r="D821" s="72">
        <v>0.47499999999999998</v>
      </c>
      <c r="E821" s="72">
        <v>0.47499999999999998</v>
      </c>
      <c r="F821" s="72">
        <v>0.05</v>
      </c>
      <c r="G821" s="72">
        <v>0</v>
      </c>
      <c r="H821" s="87"/>
      <c r="I821" s="87"/>
    </row>
    <row r="822" spans="3:9" x14ac:dyDescent="0.2">
      <c r="C822" s="72">
        <v>0</v>
      </c>
      <c r="D822" s="72">
        <v>0.47499999999999998</v>
      </c>
      <c r="E822" s="72">
        <v>0.47499999999999998</v>
      </c>
      <c r="F822" s="72">
        <v>0</v>
      </c>
      <c r="G822" s="72">
        <v>0.05</v>
      </c>
      <c r="H822" s="87"/>
      <c r="I822" s="87"/>
    </row>
    <row r="823" spans="3:9" x14ac:dyDescent="0.2">
      <c r="C823" s="72">
        <v>0</v>
      </c>
      <c r="D823" s="72">
        <v>0.47499999999999998</v>
      </c>
      <c r="E823" s="72">
        <v>0.05</v>
      </c>
      <c r="F823" s="72">
        <v>0.47499999999999998</v>
      </c>
      <c r="G823" s="72">
        <v>0</v>
      </c>
      <c r="H823" s="87"/>
      <c r="I823" s="87"/>
    </row>
    <row r="824" spans="3:9" x14ac:dyDescent="0.2">
      <c r="C824" s="72">
        <v>0</v>
      </c>
      <c r="D824" s="72">
        <v>0.47499999999999998</v>
      </c>
      <c r="E824" s="72">
        <v>0.05</v>
      </c>
      <c r="F824" s="72">
        <v>0</v>
      </c>
      <c r="G824" s="72">
        <v>0.47499999999999998</v>
      </c>
      <c r="H824" s="87"/>
      <c r="I824" s="87"/>
    </row>
    <row r="825" spans="3:9" x14ac:dyDescent="0.2">
      <c r="C825" s="72">
        <v>0</v>
      </c>
      <c r="D825" s="72">
        <v>0.47499999999999998</v>
      </c>
      <c r="E825" s="72">
        <v>0</v>
      </c>
      <c r="F825" s="72">
        <v>0.47499999999999998</v>
      </c>
      <c r="G825" s="72">
        <v>0.05</v>
      </c>
      <c r="H825" s="87"/>
      <c r="I825" s="87"/>
    </row>
    <row r="826" spans="3:9" x14ac:dyDescent="0.2">
      <c r="C826" s="72">
        <v>0</v>
      </c>
      <c r="D826" s="72">
        <v>0.47499999999999998</v>
      </c>
      <c r="E826" s="72">
        <v>0</v>
      </c>
      <c r="F826" s="72">
        <v>0.05</v>
      </c>
      <c r="G826" s="72">
        <v>0.47499999999999998</v>
      </c>
      <c r="H826" s="87"/>
      <c r="I826" s="87"/>
    </row>
    <row r="827" spans="3:9" x14ac:dyDescent="0.2">
      <c r="C827" s="72">
        <v>0</v>
      </c>
      <c r="D827" s="72">
        <v>0.45</v>
      </c>
      <c r="E827" s="72">
        <v>0.55000000000000004</v>
      </c>
      <c r="F827" s="72">
        <v>0</v>
      </c>
      <c r="G827" s="72">
        <v>0</v>
      </c>
      <c r="H827" s="87"/>
      <c r="I827" s="87"/>
    </row>
    <row r="828" spans="3:9" x14ac:dyDescent="0.2">
      <c r="C828" s="72">
        <v>0</v>
      </c>
      <c r="D828" s="72">
        <v>0.45</v>
      </c>
      <c r="E828" s="72">
        <v>0.45</v>
      </c>
      <c r="F828" s="72">
        <v>0.1</v>
      </c>
      <c r="G828" s="72">
        <v>0</v>
      </c>
      <c r="H828" s="87"/>
      <c r="I828" s="87"/>
    </row>
    <row r="829" spans="3:9" x14ac:dyDescent="0.2">
      <c r="C829" s="72">
        <v>0</v>
      </c>
      <c r="D829" s="72">
        <v>0.45</v>
      </c>
      <c r="E829" s="72">
        <v>0.45</v>
      </c>
      <c r="F829" s="72">
        <v>0</v>
      </c>
      <c r="G829" s="72">
        <v>0.1</v>
      </c>
      <c r="H829" s="87"/>
      <c r="I829" s="87"/>
    </row>
    <row r="830" spans="3:9" x14ac:dyDescent="0.2">
      <c r="C830" s="72">
        <v>0</v>
      </c>
      <c r="D830" s="72">
        <v>0.45</v>
      </c>
      <c r="E830" s="72">
        <v>0.27500000000000002</v>
      </c>
      <c r="F830" s="72">
        <v>0.27500000000000002</v>
      </c>
      <c r="G830" s="72">
        <v>0</v>
      </c>
      <c r="H830" s="87"/>
      <c r="I830" s="87"/>
    </row>
    <row r="831" spans="3:9" x14ac:dyDescent="0.2">
      <c r="C831" s="72">
        <v>0</v>
      </c>
      <c r="D831" s="72">
        <v>0.45</v>
      </c>
      <c r="E831" s="72">
        <v>0.27500000000000002</v>
      </c>
      <c r="F831" s="72">
        <v>0</v>
      </c>
      <c r="G831" s="72">
        <v>0.27500000000000002</v>
      </c>
      <c r="H831" s="87"/>
      <c r="I831" s="87"/>
    </row>
    <row r="832" spans="3:9" x14ac:dyDescent="0.2">
      <c r="C832" s="72">
        <v>0</v>
      </c>
      <c r="D832" s="72">
        <v>0.45</v>
      </c>
      <c r="E832" s="72">
        <v>0.183333</v>
      </c>
      <c r="F832" s="72">
        <v>0.183333</v>
      </c>
      <c r="G832" s="72">
        <v>0.183333</v>
      </c>
      <c r="H832" s="87"/>
      <c r="I832" s="87"/>
    </row>
    <row r="833" spans="3:9" x14ac:dyDescent="0.2">
      <c r="C833" s="72">
        <v>0</v>
      </c>
      <c r="D833" s="72">
        <v>0.45</v>
      </c>
      <c r="E833" s="72">
        <v>0.1</v>
      </c>
      <c r="F833" s="72">
        <v>0.45</v>
      </c>
      <c r="G833" s="72">
        <v>0</v>
      </c>
      <c r="H833" s="87"/>
      <c r="I833" s="87"/>
    </row>
    <row r="834" spans="3:9" x14ac:dyDescent="0.2">
      <c r="C834" s="72">
        <v>0</v>
      </c>
      <c r="D834" s="72">
        <v>0.45</v>
      </c>
      <c r="E834" s="72">
        <v>0.1</v>
      </c>
      <c r="F834" s="72">
        <v>0</v>
      </c>
      <c r="G834" s="72">
        <v>0.45</v>
      </c>
      <c r="H834" s="87"/>
      <c r="I834" s="87"/>
    </row>
    <row r="835" spans="3:9" x14ac:dyDescent="0.2">
      <c r="C835" s="72">
        <v>0</v>
      </c>
      <c r="D835" s="72">
        <v>0.45</v>
      </c>
      <c r="E835" s="72">
        <v>0</v>
      </c>
      <c r="F835" s="72">
        <v>0.55000000000000004</v>
      </c>
      <c r="G835" s="72">
        <v>0</v>
      </c>
      <c r="H835" s="87"/>
      <c r="I835" s="87"/>
    </row>
    <row r="836" spans="3:9" x14ac:dyDescent="0.2">
      <c r="C836" s="72">
        <v>0</v>
      </c>
      <c r="D836" s="72">
        <v>0.45</v>
      </c>
      <c r="E836" s="72">
        <v>0</v>
      </c>
      <c r="F836" s="72">
        <v>0.45</v>
      </c>
      <c r="G836" s="72">
        <v>0.1</v>
      </c>
      <c r="H836" s="87"/>
      <c r="I836" s="87"/>
    </row>
    <row r="837" spans="3:9" x14ac:dyDescent="0.2">
      <c r="C837" s="72">
        <v>0</v>
      </c>
      <c r="D837" s="72">
        <v>0.45</v>
      </c>
      <c r="E837" s="72">
        <v>0</v>
      </c>
      <c r="F837" s="72">
        <v>0.27500000000000002</v>
      </c>
      <c r="G837" s="72">
        <v>0.27500000000000002</v>
      </c>
      <c r="H837" s="87"/>
      <c r="I837" s="87"/>
    </row>
    <row r="838" spans="3:9" x14ac:dyDescent="0.2">
      <c r="C838" s="72">
        <v>0</v>
      </c>
      <c r="D838" s="72">
        <v>0.45</v>
      </c>
      <c r="E838" s="72">
        <v>0</v>
      </c>
      <c r="F838" s="72">
        <v>0.1</v>
      </c>
      <c r="G838" s="72">
        <v>0.45</v>
      </c>
      <c r="H838" s="87"/>
      <c r="I838" s="87"/>
    </row>
    <row r="839" spans="3:9" x14ac:dyDescent="0.2">
      <c r="C839" s="72">
        <v>0</v>
      </c>
      <c r="D839" s="72">
        <v>0.45</v>
      </c>
      <c r="E839" s="72">
        <v>0</v>
      </c>
      <c r="F839" s="72">
        <v>0</v>
      </c>
      <c r="G839" s="72">
        <v>0.55000000000000004</v>
      </c>
      <c r="H839" s="87"/>
      <c r="I839" s="87"/>
    </row>
    <row r="840" spans="3:9" x14ac:dyDescent="0.2">
      <c r="C840" s="72">
        <v>0</v>
      </c>
      <c r="D840" s="72">
        <v>0.42499999999999999</v>
      </c>
      <c r="E840" s="72">
        <v>0.42499999999999999</v>
      </c>
      <c r="F840" s="72">
        <v>0.15</v>
      </c>
      <c r="G840" s="72">
        <v>0</v>
      </c>
      <c r="H840" s="87"/>
      <c r="I840" s="87"/>
    </row>
    <row r="841" spans="3:9" x14ac:dyDescent="0.2">
      <c r="C841" s="72">
        <v>0</v>
      </c>
      <c r="D841" s="72">
        <v>0.42499999999999999</v>
      </c>
      <c r="E841" s="72">
        <v>0.42499999999999999</v>
      </c>
      <c r="F841" s="72">
        <v>0</v>
      </c>
      <c r="G841" s="72">
        <v>0.15</v>
      </c>
      <c r="H841" s="87"/>
      <c r="I841" s="87"/>
    </row>
    <row r="842" spans="3:9" x14ac:dyDescent="0.2">
      <c r="C842" s="72">
        <v>0</v>
      </c>
      <c r="D842" s="72">
        <v>0.42499999999999999</v>
      </c>
      <c r="E842" s="72">
        <v>0.15</v>
      </c>
      <c r="F842" s="72">
        <v>0.42499999999999999</v>
      </c>
      <c r="G842" s="72">
        <v>0</v>
      </c>
      <c r="H842" s="87"/>
      <c r="I842" s="87"/>
    </row>
    <row r="843" spans="3:9" x14ac:dyDescent="0.2">
      <c r="C843" s="72">
        <v>0</v>
      </c>
      <c r="D843" s="72">
        <v>0.42499999999999999</v>
      </c>
      <c r="E843" s="72">
        <v>0.15</v>
      </c>
      <c r="F843" s="72">
        <v>0</v>
      </c>
      <c r="G843" s="72">
        <v>0.42499999999999999</v>
      </c>
      <c r="H843" s="87"/>
      <c r="I843" s="87"/>
    </row>
    <row r="844" spans="3:9" x14ac:dyDescent="0.2">
      <c r="C844" s="72">
        <v>0</v>
      </c>
      <c r="D844" s="72">
        <v>0.42499999999999999</v>
      </c>
      <c r="E844" s="72">
        <v>0</v>
      </c>
      <c r="F844" s="72">
        <v>0.42499999999999999</v>
      </c>
      <c r="G844" s="72">
        <v>0.15</v>
      </c>
      <c r="H844" s="87"/>
      <c r="I844" s="87"/>
    </row>
    <row r="845" spans="3:9" x14ac:dyDescent="0.2">
      <c r="C845" s="72">
        <v>0</v>
      </c>
      <c r="D845" s="72">
        <v>0.42499999999999999</v>
      </c>
      <c r="E845" s="72">
        <v>0</v>
      </c>
      <c r="F845" s="72">
        <v>0.15</v>
      </c>
      <c r="G845" s="72">
        <v>0.42499999999999999</v>
      </c>
      <c r="H845" s="87"/>
      <c r="I845" s="87"/>
    </row>
    <row r="846" spans="3:9" x14ac:dyDescent="0.2">
      <c r="C846" s="72">
        <v>0</v>
      </c>
      <c r="D846" s="72">
        <v>0.4</v>
      </c>
      <c r="E846" s="72">
        <v>0.6</v>
      </c>
      <c r="F846" s="72">
        <v>0</v>
      </c>
      <c r="G846" s="72">
        <v>0</v>
      </c>
      <c r="H846" s="87"/>
      <c r="I846" s="87"/>
    </row>
    <row r="847" spans="3:9" x14ac:dyDescent="0.2">
      <c r="C847" s="72">
        <v>0</v>
      </c>
      <c r="D847" s="72">
        <v>0.4</v>
      </c>
      <c r="E847" s="72">
        <v>0.4</v>
      </c>
      <c r="F847" s="72">
        <v>0.2</v>
      </c>
      <c r="G847" s="72">
        <v>0</v>
      </c>
      <c r="H847" s="87"/>
      <c r="I847" s="87"/>
    </row>
    <row r="848" spans="3:9" x14ac:dyDescent="0.2">
      <c r="C848" s="72">
        <v>0</v>
      </c>
      <c r="D848" s="72">
        <v>0.4</v>
      </c>
      <c r="E848" s="72">
        <v>0.4</v>
      </c>
      <c r="F848" s="72">
        <v>0</v>
      </c>
      <c r="G848" s="72">
        <v>0.2</v>
      </c>
      <c r="H848" s="87"/>
      <c r="I848" s="87"/>
    </row>
    <row r="849" spans="3:9" x14ac:dyDescent="0.2">
      <c r="C849" s="72">
        <v>0</v>
      </c>
      <c r="D849" s="72">
        <v>0.4</v>
      </c>
      <c r="E849" s="72">
        <v>0.3</v>
      </c>
      <c r="F849" s="72">
        <v>0.3</v>
      </c>
      <c r="G849" s="72">
        <v>0</v>
      </c>
      <c r="H849" s="87"/>
      <c r="I849" s="87"/>
    </row>
    <row r="850" spans="3:9" x14ac:dyDescent="0.2">
      <c r="C850" s="72">
        <v>0</v>
      </c>
      <c r="D850" s="72">
        <v>0.4</v>
      </c>
      <c r="E850" s="72">
        <v>0.3</v>
      </c>
      <c r="F850" s="72">
        <v>0</v>
      </c>
      <c r="G850" s="72">
        <v>0.3</v>
      </c>
      <c r="H850" s="87"/>
      <c r="I850" s="87"/>
    </row>
    <row r="851" spans="3:9" x14ac:dyDescent="0.2">
      <c r="C851" s="72">
        <v>0</v>
      </c>
      <c r="D851" s="72">
        <v>0.4</v>
      </c>
      <c r="E851" s="72">
        <v>0.2</v>
      </c>
      <c r="F851" s="72">
        <v>0.4</v>
      </c>
      <c r="G851" s="72">
        <v>0</v>
      </c>
      <c r="H851" s="87"/>
      <c r="I851" s="87"/>
    </row>
    <row r="852" spans="3:9" x14ac:dyDescent="0.2">
      <c r="C852" s="72">
        <v>0</v>
      </c>
      <c r="D852" s="72">
        <v>0.4</v>
      </c>
      <c r="E852" s="72">
        <v>0.2</v>
      </c>
      <c r="F852" s="72">
        <v>0.2</v>
      </c>
      <c r="G852" s="72">
        <v>0.2</v>
      </c>
      <c r="H852" s="87"/>
      <c r="I852" s="87"/>
    </row>
    <row r="853" spans="3:9" x14ac:dyDescent="0.2">
      <c r="C853" s="72">
        <v>0</v>
      </c>
      <c r="D853" s="72">
        <v>0.4</v>
      </c>
      <c r="E853" s="72">
        <v>0.2</v>
      </c>
      <c r="F853" s="72">
        <v>0</v>
      </c>
      <c r="G853" s="72">
        <v>0.4</v>
      </c>
      <c r="H853" s="87"/>
      <c r="I853" s="87"/>
    </row>
    <row r="854" spans="3:9" x14ac:dyDescent="0.2">
      <c r="C854" s="72">
        <v>0</v>
      </c>
      <c r="D854" s="72">
        <v>0.4</v>
      </c>
      <c r="E854" s="72">
        <v>0</v>
      </c>
      <c r="F854" s="72">
        <v>0.6</v>
      </c>
      <c r="G854" s="72">
        <v>0</v>
      </c>
      <c r="H854" s="87"/>
      <c r="I854" s="87"/>
    </row>
    <row r="855" spans="3:9" x14ac:dyDescent="0.2">
      <c r="C855" s="72">
        <v>0</v>
      </c>
      <c r="D855" s="72">
        <v>0.4</v>
      </c>
      <c r="E855" s="72">
        <v>0</v>
      </c>
      <c r="F855" s="72">
        <v>0.4</v>
      </c>
      <c r="G855" s="72">
        <v>0.2</v>
      </c>
      <c r="H855" s="87"/>
      <c r="I855" s="87"/>
    </row>
    <row r="856" spans="3:9" x14ac:dyDescent="0.2">
      <c r="C856" s="72">
        <v>0</v>
      </c>
      <c r="D856" s="72">
        <v>0.4</v>
      </c>
      <c r="E856" s="72">
        <v>0</v>
      </c>
      <c r="F856" s="72">
        <v>0.3</v>
      </c>
      <c r="G856" s="72">
        <v>0.3</v>
      </c>
      <c r="H856" s="87"/>
      <c r="I856" s="87"/>
    </row>
    <row r="857" spans="3:9" x14ac:dyDescent="0.2">
      <c r="C857" s="72">
        <v>0</v>
      </c>
      <c r="D857" s="72">
        <v>0.4</v>
      </c>
      <c r="E857" s="72">
        <v>0</v>
      </c>
      <c r="F857" s="72">
        <v>0.2</v>
      </c>
      <c r="G857" s="72">
        <v>0.4</v>
      </c>
      <c r="H857" s="87"/>
      <c r="I857" s="87"/>
    </row>
    <row r="858" spans="3:9" x14ac:dyDescent="0.2">
      <c r="C858" s="72">
        <v>0</v>
      </c>
      <c r="D858" s="72">
        <v>0.4</v>
      </c>
      <c r="E858" s="72">
        <v>0</v>
      </c>
      <c r="F858" s="72">
        <v>0</v>
      </c>
      <c r="G858" s="72">
        <v>0.6</v>
      </c>
      <c r="H858" s="87"/>
      <c r="I858" s="87"/>
    </row>
    <row r="859" spans="3:9" x14ac:dyDescent="0.2">
      <c r="C859" s="72">
        <v>0</v>
      </c>
      <c r="D859" s="72">
        <v>0.375</v>
      </c>
      <c r="E859" s="72">
        <v>0.375</v>
      </c>
      <c r="F859" s="72">
        <v>0.25</v>
      </c>
      <c r="G859" s="72">
        <v>0</v>
      </c>
      <c r="H859" s="87"/>
      <c r="I859" s="87"/>
    </row>
    <row r="860" spans="3:9" x14ac:dyDescent="0.2">
      <c r="C860" s="72">
        <v>0</v>
      </c>
      <c r="D860" s="72">
        <v>0.375</v>
      </c>
      <c r="E860" s="72">
        <v>0.375</v>
      </c>
      <c r="F860" s="72">
        <v>0</v>
      </c>
      <c r="G860" s="72">
        <v>0.25</v>
      </c>
      <c r="H860" s="87"/>
      <c r="I860" s="87"/>
    </row>
    <row r="861" spans="3:9" x14ac:dyDescent="0.2">
      <c r="C861" s="72">
        <v>0</v>
      </c>
      <c r="D861" s="72">
        <v>0.375</v>
      </c>
      <c r="E861" s="72">
        <v>0.25</v>
      </c>
      <c r="F861" s="72">
        <v>0.375</v>
      </c>
      <c r="G861" s="72">
        <v>0</v>
      </c>
      <c r="H861" s="87"/>
      <c r="I861" s="87"/>
    </row>
    <row r="862" spans="3:9" x14ac:dyDescent="0.2">
      <c r="C862" s="72">
        <v>0</v>
      </c>
      <c r="D862" s="72">
        <v>0.375</v>
      </c>
      <c r="E862" s="72">
        <v>0.25</v>
      </c>
      <c r="F862" s="72">
        <v>0</v>
      </c>
      <c r="G862" s="72">
        <v>0.375</v>
      </c>
      <c r="H862" s="87"/>
      <c r="I862" s="87"/>
    </row>
    <row r="863" spans="3:9" x14ac:dyDescent="0.2">
      <c r="C863" s="72">
        <v>0</v>
      </c>
      <c r="D863" s="72">
        <v>0.375</v>
      </c>
      <c r="E863" s="72">
        <v>0</v>
      </c>
      <c r="F863" s="72">
        <v>0.375</v>
      </c>
      <c r="G863" s="72">
        <v>0.25</v>
      </c>
      <c r="H863" s="87"/>
      <c r="I863" s="87"/>
    </row>
    <row r="864" spans="3:9" x14ac:dyDescent="0.2">
      <c r="C864" s="72">
        <v>0</v>
      </c>
      <c r="D864" s="72">
        <v>0.375</v>
      </c>
      <c r="E864" s="72">
        <v>0</v>
      </c>
      <c r="F864" s="72">
        <v>0.25</v>
      </c>
      <c r="G864" s="72">
        <v>0.375</v>
      </c>
      <c r="H864" s="87"/>
      <c r="I864" s="87"/>
    </row>
    <row r="865" spans="3:9" x14ac:dyDescent="0.2">
      <c r="C865" s="72">
        <v>0</v>
      </c>
      <c r="D865" s="72">
        <v>0.35</v>
      </c>
      <c r="E865" s="72">
        <v>0.65</v>
      </c>
      <c r="F865" s="72">
        <v>0</v>
      </c>
      <c r="G865" s="72">
        <v>0</v>
      </c>
      <c r="H865" s="87"/>
      <c r="I865" s="87"/>
    </row>
    <row r="866" spans="3:9" x14ac:dyDescent="0.2">
      <c r="C866" s="72">
        <v>0</v>
      </c>
      <c r="D866" s="72">
        <v>0.35</v>
      </c>
      <c r="E866" s="72">
        <v>0.35</v>
      </c>
      <c r="F866" s="72">
        <v>0.3</v>
      </c>
      <c r="G866" s="72">
        <v>0</v>
      </c>
      <c r="H866" s="87"/>
      <c r="I866" s="87"/>
    </row>
    <row r="867" spans="3:9" x14ac:dyDescent="0.2">
      <c r="C867" s="72">
        <v>0</v>
      </c>
      <c r="D867" s="72">
        <v>0.35</v>
      </c>
      <c r="E867" s="72">
        <v>0.35</v>
      </c>
      <c r="F867" s="72">
        <v>0</v>
      </c>
      <c r="G867" s="72">
        <v>0.3</v>
      </c>
      <c r="H867" s="87"/>
      <c r="I867" s="87"/>
    </row>
    <row r="868" spans="3:9" x14ac:dyDescent="0.2">
      <c r="C868" s="72">
        <v>0</v>
      </c>
      <c r="D868" s="72">
        <v>0.35</v>
      </c>
      <c r="E868" s="72">
        <v>0.32500000000000001</v>
      </c>
      <c r="F868" s="72">
        <v>0.32500000000000001</v>
      </c>
      <c r="G868" s="72">
        <v>0</v>
      </c>
      <c r="H868" s="87"/>
      <c r="I868" s="87"/>
    </row>
    <row r="869" spans="3:9" x14ac:dyDescent="0.2">
      <c r="C869" s="72">
        <v>0</v>
      </c>
      <c r="D869" s="72">
        <v>0.35</v>
      </c>
      <c r="E869" s="72">
        <v>0.32500000000000001</v>
      </c>
      <c r="F869" s="72">
        <v>0</v>
      </c>
      <c r="G869" s="72">
        <v>0.32500000000000001</v>
      </c>
      <c r="H869" s="87"/>
      <c r="I869" s="87"/>
    </row>
    <row r="870" spans="3:9" x14ac:dyDescent="0.2">
      <c r="C870" s="72">
        <v>0</v>
      </c>
      <c r="D870" s="72">
        <v>0.35</v>
      </c>
      <c r="E870" s="72">
        <v>0.3</v>
      </c>
      <c r="F870" s="72">
        <v>0.35</v>
      </c>
      <c r="G870" s="72">
        <v>0</v>
      </c>
      <c r="H870" s="87"/>
      <c r="I870" s="87"/>
    </row>
    <row r="871" spans="3:9" x14ac:dyDescent="0.2">
      <c r="C871" s="72">
        <v>0</v>
      </c>
      <c r="D871" s="72">
        <v>0.35</v>
      </c>
      <c r="E871" s="72">
        <v>0.3</v>
      </c>
      <c r="F871" s="72">
        <v>0</v>
      </c>
      <c r="G871" s="72">
        <v>0.35</v>
      </c>
      <c r="H871" s="87"/>
      <c r="I871" s="87"/>
    </row>
    <row r="872" spans="3:9" x14ac:dyDescent="0.2">
      <c r="C872" s="72">
        <v>0</v>
      </c>
      <c r="D872" s="72">
        <v>0.35</v>
      </c>
      <c r="E872" s="72">
        <v>0.216667</v>
      </c>
      <c r="F872" s="72">
        <v>0.216667</v>
      </c>
      <c r="G872" s="72">
        <v>0.216667</v>
      </c>
      <c r="H872" s="87"/>
      <c r="I872" s="87"/>
    </row>
    <row r="873" spans="3:9" x14ac:dyDescent="0.2">
      <c r="C873" s="72">
        <v>0</v>
      </c>
      <c r="D873" s="72">
        <v>0.35</v>
      </c>
      <c r="E873" s="72">
        <v>0</v>
      </c>
      <c r="F873" s="72">
        <v>0.65</v>
      </c>
      <c r="G873" s="72">
        <v>0</v>
      </c>
      <c r="H873" s="87"/>
      <c r="I873" s="87"/>
    </row>
    <row r="874" spans="3:9" x14ac:dyDescent="0.2">
      <c r="C874" s="72">
        <v>0</v>
      </c>
      <c r="D874" s="72">
        <v>0.35</v>
      </c>
      <c r="E874" s="72">
        <v>0</v>
      </c>
      <c r="F874" s="72">
        <v>0.35</v>
      </c>
      <c r="G874" s="72">
        <v>0.3</v>
      </c>
      <c r="H874" s="87"/>
      <c r="I874" s="87"/>
    </row>
    <row r="875" spans="3:9" x14ac:dyDescent="0.2">
      <c r="C875" s="72">
        <v>0</v>
      </c>
      <c r="D875" s="72">
        <v>0.35</v>
      </c>
      <c r="E875" s="72">
        <v>0</v>
      </c>
      <c r="F875" s="72">
        <v>0.32500000000000001</v>
      </c>
      <c r="G875" s="72">
        <v>0.32500000000000001</v>
      </c>
      <c r="H875" s="87"/>
      <c r="I875" s="87"/>
    </row>
    <row r="876" spans="3:9" x14ac:dyDescent="0.2">
      <c r="C876" s="72">
        <v>0</v>
      </c>
      <c r="D876" s="72">
        <v>0.35</v>
      </c>
      <c r="E876" s="72">
        <v>0</v>
      </c>
      <c r="F876" s="72">
        <v>0.3</v>
      </c>
      <c r="G876" s="72">
        <v>0.35</v>
      </c>
      <c r="H876" s="87"/>
      <c r="I876" s="87"/>
    </row>
    <row r="877" spans="3:9" x14ac:dyDescent="0.2">
      <c r="C877" s="72">
        <v>0</v>
      </c>
      <c r="D877" s="72">
        <v>0.35</v>
      </c>
      <c r="E877" s="72">
        <v>0</v>
      </c>
      <c r="F877" s="72">
        <v>0</v>
      </c>
      <c r="G877" s="72">
        <v>0.65</v>
      </c>
      <c r="H877" s="87"/>
      <c r="I877" s="87"/>
    </row>
    <row r="878" spans="3:9" x14ac:dyDescent="0.2">
      <c r="C878" s="72">
        <v>0</v>
      </c>
      <c r="D878" s="72">
        <v>0.33333299999999999</v>
      </c>
      <c r="E878" s="72">
        <v>0.33333299999999999</v>
      </c>
      <c r="F878" s="72">
        <v>0.33333299999999999</v>
      </c>
      <c r="G878" s="72">
        <v>0</v>
      </c>
      <c r="H878" s="87"/>
      <c r="I878" s="87"/>
    </row>
    <row r="879" spans="3:9" x14ac:dyDescent="0.2">
      <c r="C879" s="72">
        <v>0</v>
      </c>
      <c r="D879" s="72">
        <v>0.33333299999999999</v>
      </c>
      <c r="E879" s="72">
        <v>0.33333299999999999</v>
      </c>
      <c r="F879" s="72">
        <v>0</v>
      </c>
      <c r="G879" s="72">
        <v>0.33333299999999999</v>
      </c>
      <c r="H879" s="87"/>
      <c r="I879" s="87"/>
    </row>
    <row r="880" spans="3:9" x14ac:dyDescent="0.2">
      <c r="C880" s="72">
        <v>0</v>
      </c>
      <c r="D880" s="72">
        <v>0.33333299999999999</v>
      </c>
      <c r="E880" s="72">
        <v>0</v>
      </c>
      <c r="F880" s="72">
        <v>0.33333299999999999</v>
      </c>
      <c r="G880" s="72">
        <v>0.33333299999999999</v>
      </c>
      <c r="H880" s="87"/>
      <c r="I880" s="87"/>
    </row>
    <row r="881" spans="3:9" x14ac:dyDescent="0.2">
      <c r="C881" s="72">
        <v>0</v>
      </c>
      <c r="D881" s="72">
        <v>0.32500000000000001</v>
      </c>
      <c r="E881" s="72">
        <v>0.35</v>
      </c>
      <c r="F881" s="72">
        <v>0.32500000000000001</v>
      </c>
      <c r="G881" s="72">
        <v>0</v>
      </c>
      <c r="H881" s="87"/>
      <c r="I881" s="87"/>
    </row>
    <row r="882" spans="3:9" x14ac:dyDescent="0.2">
      <c r="C882" s="72">
        <v>0</v>
      </c>
      <c r="D882" s="72">
        <v>0.32500000000000001</v>
      </c>
      <c r="E882" s="72">
        <v>0.35</v>
      </c>
      <c r="F882" s="72">
        <v>0</v>
      </c>
      <c r="G882" s="72">
        <v>0.32500000000000001</v>
      </c>
      <c r="H882" s="87"/>
      <c r="I882" s="87"/>
    </row>
    <row r="883" spans="3:9" x14ac:dyDescent="0.2">
      <c r="C883" s="72">
        <v>0</v>
      </c>
      <c r="D883" s="72">
        <v>0.32500000000000001</v>
      </c>
      <c r="E883" s="72">
        <v>0.32500000000000001</v>
      </c>
      <c r="F883" s="72">
        <v>0.35</v>
      </c>
      <c r="G883" s="72">
        <v>0</v>
      </c>
      <c r="H883" s="87"/>
      <c r="I883" s="87"/>
    </row>
    <row r="884" spans="3:9" x14ac:dyDescent="0.2">
      <c r="C884" s="72">
        <v>0</v>
      </c>
      <c r="D884" s="72">
        <v>0.32500000000000001</v>
      </c>
      <c r="E884" s="72">
        <v>0.32500000000000001</v>
      </c>
      <c r="F884" s="72">
        <v>0</v>
      </c>
      <c r="G884" s="72">
        <v>0.35</v>
      </c>
      <c r="H884" s="87"/>
      <c r="I884" s="87"/>
    </row>
    <row r="885" spans="3:9" x14ac:dyDescent="0.2">
      <c r="C885" s="72">
        <v>0</v>
      </c>
      <c r="D885" s="72">
        <v>0.32500000000000001</v>
      </c>
      <c r="E885" s="72">
        <v>0</v>
      </c>
      <c r="F885" s="72">
        <v>0.35</v>
      </c>
      <c r="G885" s="72">
        <v>0.32500000000000001</v>
      </c>
      <c r="H885" s="87"/>
      <c r="I885" s="87"/>
    </row>
    <row r="886" spans="3:9" x14ac:dyDescent="0.2">
      <c r="C886" s="72">
        <v>0</v>
      </c>
      <c r="D886" s="72">
        <v>0.32500000000000001</v>
      </c>
      <c r="E886" s="72">
        <v>0</v>
      </c>
      <c r="F886" s="72">
        <v>0.32500000000000001</v>
      </c>
      <c r="G886" s="72">
        <v>0.35</v>
      </c>
      <c r="H886" s="87"/>
      <c r="I886" s="87"/>
    </row>
    <row r="887" spans="3:9" x14ac:dyDescent="0.2">
      <c r="C887" s="72">
        <v>0</v>
      </c>
      <c r="D887" s="72">
        <v>0.31666699999999998</v>
      </c>
      <c r="E887" s="72">
        <v>0.31666699999999998</v>
      </c>
      <c r="F887" s="72">
        <v>0.31666699999999998</v>
      </c>
      <c r="G887" s="72">
        <v>0.05</v>
      </c>
      <c r="H887" s="87"/>
      <c r="I887" s="87"/>
    </row>
    <row r="888" spans="3:9" x14ac:dyDescent="0.2">
      <c r="C888" s="72">
        <v>0</v>
      </c>
      <c r="D888" s="72">
        <v>0.31666699999999998</v>
      </c>
      <c r="E888" s="72">
        <v>0.31666699999999998</v>
      </c>
      <c r="F888" s="72">
        <v>0.05</v>
      </c>
      <c r="G888" s="72">
        <v>0.31666699999999998</v>
      </c>
      <c r="H888" s="87"/>
      <c r="I888" s="87"/>
    </row>
    <row r="889" spans="3:9" x14ac:dyDescent="0.2">
      <c r="C889" s="72">
        <v>0</v>
      </c>
      <c r="D889" s="72">
        <v>0.31666699999999998</v>
      </c>
      <c r="E889" s="72">
        <v>0.05</v>
      </c>
      <c r="F889" s="72">
        <v>0.31666699999999998</v>
      </c>
      <c r="G889" s="72">
        <v>0.31666699999999998</v>
      </c>
      <c r="H889" s="87"/>
      <c r="I889" s="87"/>
    </row>
    <row r="890" spans="3:9" x14ac:dyDescent="0.2">
      <c r="C890" s="72">
        <v>0</v>
      </c>
      <c r="D890" s="72">
        <v>0.3</v>
      </c>
      <c r="E890" s="72">
        <v>0.7</v>
      </c>
      <c r="F890" s="72">
        <v>0</v>
      </c>
      <c r="G890" s="72">
        <v>0</v>
      </c>
      <c r="H890" s="87"/>
      <c r="I890" s="87"/>
    </row>
    <row r="891" spans="3:9" x14ac:dyDescent="0.2">
      <c r="C891" s="72">
        <v>0</v>
      </c>
      <c r="D891" s="72">
        <v>0.3</v>
      </c>
      <c r="E891" s="72">
        <v>0.4</v>
      </c>
      <c r="F891" s="72">
        <v>0.3</v>
      </c>
      <c r="G891" s="72">
        <v>0</v>
      </c>
      <c r="H891" s="87"/>
      <c r="I891" s="87"/>
    </row>
    <row r="892" spans="3:9" x14ac:dyDescent="0.2">
      <c r="C892" s="72">
        <v>0</v>
      </c>
      <c r="D892" s="72">
        <v>0.3</v>
      </c>
      <c r="E892" s="72">
        <v>0.4</v>
      </c>
      <c r="F892" s="72">
        <v>0</v>
      </c>
      <c r="G892" s="72">
        <v>0.3</v>
      </c>
      <c r="H892" s="87"/>
      <c r="I892" s="87"/>
    </row>
    <row r="893" spans="3:9" x14ac:dyDescent="0.2">
      <c r="C893" s="72">
        <v>0</v>
      </c>
      <c r="D893" s="72">
        <v>0.3</v>
      </c>
      <c r="E893" s="72">
        <v>0.35</v>
      </c>
      <c r="F893" s="72">
        <v>0.35</v>
      </c>
      <c r="G893" s="72">
        <v>0</v>
      </c>
      <c r="H893" s="87"/>
      <c r="I893" s="87"/>
    </row>
    <row r="894" spans="3:9" x14ac:dyDescent="0.2">
      <c r="C894" s="72">
        <v>0</v>
      </c>
      <c r="D894" s="72">
        <v>0.3</v>
      </c>
      <c r="E894" s="72">
        <v>0.35</v>
      </c>
      <c r="F894" s="72">
        <v>0</v>
      </c>
      <c r="G894" s="72">
        <v>0.35</v>
      </c>
      <c r="H894" s="87"/>
      <c r="I894" s="87"/>
    </row>
    <row r="895" spans="3:9" x14ac:dyDescent="0.2">
      <c r="C895" s="72">
        <v>0</v>
      </c>
      <c r="D895" s="72">
        <v>0.3</v>
      </c>
      <c r="E895" s="72">
        <v>0.3</v>
      </c>
      <c r="F895" s="72">
        <v>0.4</v>
      </c>
      <c r="G895" s="72">
        <v>0</v>
      </c>
      <c r="H895" s="87"/>
      <c r="I895" s="87"/>
    </row>
    <row r="896" spans="3:9" x14ac:dyDescent="0.2">
      <c r="C896" s="72">
        <v>0</v>
      </c>
      <c r="D896" s="72">
        <v>0.3</v>
      </c>
      <c r="E896" s="72">
        <v>0.3</v>
      </c>
      <c r="F896" s="72">
        <v>0.3</v>
      </c>
      <c r="G896" s="72">
        <v>0.1</v>
      </c>
      <c r="H896" s="87"/>
      <c r="I896" s="87"/>
    </row>
    <row r="897" spans="3:9" x14ac:dyDescent="0.2">
      <c r="C897" s="72">
        <v>0</v>
      </c>
      <c r="D897" s="72">
        <v>0.3</v>
      </c>
      <c r="E897" s="72">
        <v>0.3</v>
      </c>
      <c r="F897" s="72">
        <v>0.1</v>
      </c>
      <c r="G897" s="72">
        <v>0.3</v>
      </c>
      <c r="H897" s="87"/>
      <c r="I897" s="87"/>
    </row>
    <row r="898" spans="3:9" x14ac:dyDescent="0.2">
      <c r="C898" s="72">
        <v>0</v>
      </c>
      <c r="D898" s="72">
        <v>0.3</v>
      </c>
      <c r="E898" s="72">
        <v>0.3</v>
      </c>
      <c r="F898" s="72">
        <v>0</v>
      </c>
      <c r="G898" s="72">
        <v>0.4</v>
      </c>
      <c r="H898" s="87"/>
      <c r="I898" s="87"/>
    </row>
    <row r="899" spans="3:9" x14ac:dyDescent="0.2">
      <c r="C899" s="72">
        <v>0</v>
      </c>
      <c r="D899" s="72">
        <v>0.3</v>
      </c>
      <c r="E899" s="72">
        <v>0.23333300000000001</v>
      </c>
      <c r="F899" s="72">
        <v>0.23333300000000001</v>
      </c>
      <c r="G899" s="72">
        <v>0.23333300000000001</v>
      </c>
      <c r="H899" s="87"/>
      <c r="I899" s="87"/>
    </row>
    <row r="900" spans="3:9" x14ac:dyDescent="0.2">
      <c r="C900" s="72">
        <v>0</v>
      </c>
      <c r="D900" s="72">
        <v>0.3</v>
      </c>
      <c r="E900" s="72">
        <v>0.1</v>
      </c>
      <c r="F900" s="72">
        <v>0.3</v>
      </c>
      <c r="G900" s="72">
        <v>0.3</v>
      </c>
      <c r="H900" s="87"/>
      <c r="I900" s="87"/>
    </row>
    <row r="901" spans="3:9" x14ac:dyDescent="0.2">
      <c r="C901" s="72">
        <v>0</v>
      </c>
      <c r="D901" s="72">
        <v>0.3</v>
      </c>
      <c r="E901" s="72">
        <v>0</v>
      </c>
      <c r="F901" s="72">
        <v>0.7</v>
      </c>
      <c r="G901" s="72">
        <v>0</v>
      </c>
      <c r="H901" s="87"/>
      <c r="I901" s="87"/>
    </row>
    <row r="902" spans="3:9" x14ac:dyDescent="0.2">
      <c r="C902" s="72">
        <v>0</v>
      </c>
      <c r="D902" s="72">
        <v>0.3</v>
      </c>
      <c r="E902" s="72">
        <v>0</v>
      </c>
      <c r="F902" s="72">
        <v>0.4</v>
      </c>
      <c r="G902" s="72">
        <v>0.3</v>
      </c>
      <c r="H902" s="87"/>
      <c r="I902" s="87"/>
    </row>
    <row r="903" spans="3:9" x14ac:dyDescent="0.2">
      <c r="C903" s="72">
        <v>0</v>
      </c>
      <c r="D903" s="72">
        <v>0.3</v>
      </c>
      <c r="E903" s="72">
        <v>0</v>
      </c>
      <c r="F903" s="72">
        <v>0.35</v>
      </c>
      <c r="G903" s="72">
        <v>0.35</v>
      </c>
      <c r="H903" s="87"/>
      <c r="I903" s="87"/>
    </row>
    <row r="904" spans="3:9" x14ac:dyDescent="0.2">
      <c r="C904" s="72">
        <v>0</v>
      </c>
      <c r="D904" s="72">
        <v>0.3</v>
      </c>
      <c r="E904" s="72">
        <v>0</v>
      </c>
      <c r="F904" s="72">
        <v>0.3</v>
      </c>
      <c r="G904" s="72">
        <v>0.4</v>
      </c>
      <c r="H904" s="87"/>
      <c r="I904" s="87"/>
    </row>
    <row r="905" spans="3:9" x14ac:dyDescent="0.2">
      <c r="C905" s="72">
        <v>0</v>
      </c>
      <c r="D905" s="72">
        <v>0.3</v>
      </c>
      <c r="E905" s="72">
        <v>0</v>
      </c>
      <c r="F905" s="72">
        <v>0</v>
      </c>
      <c r="G905" s="72">
        <v>0.7</v>
      </c>
      <c r="H905" s="87"/>
      <c r="I905" s="87"/>
    </row>
    <row r="906" spans="3:9" x14ac:dyDescent="0.2">
      <c r="C906" s="72">
        <v>0</v>
      </c>
      <c r="D906" s="72">
        <v>0.283333</v>
      </c>
      <c r="E906" s="72">
        <v>0.283333</v>
      </c>
      <c r="F906" s="72">
        <v>0.283333</v>
      </c>
      <c r="G906" s="72">
        <v>0.15</v>
      </c>
      <c r="H906" s="87"/>
      <c r="I906" s="87"/>
    </row>
    <row r="907" spans="3:9" x14ac:dyDescent="0.2">
      <c r="C907" s="72">
        <v>0</v>
      </c>
      <c r="D907" s="72">
        <v>0.283333</v>
      </c>
      <c r="E907" s="72">
        <v>0.283333</v>
      </c>
      <c r="F907" s="72">
        <v>0.15</v>
      </c>
      <c r="G907" s="72">
        <v>0.283333</v>
      </c>
      <c r="H907" s="87"/>
      <c r="I907" s="87"/>
    </row>
    <row r="908" spans="3:9" x14ac:dyDescent="0.2">
      <c r="C908" s="72">
        <v>0</v>
      </c>
      <c r="D908" s="72">
        <v>0.283333</v>
      </c>
      <c r="E908" s="72">
        <v>0.15</v>
      </c>
      <c r="F908" s="72">
        <v>0.283333</v>
      </c>
      <c r="G908" s="72">
        <v>0.283333</v>
      </c>
      <c r="H908" s="87"/>
      <c r="I908" s="87"/>
    </row>
    <row r="909" spans="3:9" x14ac:dyDescent="0.2">
      <c r="C909" s="72">
        <v>0</v>
      </c>
      <c r="D909" s="72">
        <v>0.27500000000000002</v>
      </c>
      <c r="E909" s="72">
        <v>0.45</v>
      </c>
      <c r="F909" s="72">
        <v>0.27500000000000002</v>
      </c>
      <c r="G909" s="72">
        <v>0</v>
      </c>
      <c r="H909" s="87"/>
      <c r="I909" s="87"/>
    </row>
    <row r="910" spans="3:9" x14ac:dyDescent="0.2">
      <c r="C910" s="72">
        <v>0</v>
      </c>
      <c r="D910" s="72">
        <v>0.27500000000000002</v>
      </c>
      <c r="E910" s="72">
        <v>0.45</v>
      </c>
      <c r="F910" s="72">
        <v>0</v>
      </c>
      <c r="G910" s="72">
        <v>0.27500000000000002</v>
      </c>
      <c r="H910" s="87"/>
      <c r="I910" s="87"/>
    </row>
    <row r="911" spans="3:9" x14ac:dyDescent="0.2">
      <c r="C911" s="72">
        <v>0</v>
      </c>
      <c r="D911" s="72">
        <v>0.27500000000000002</v>
      </c>
      <c r="E911" s="72">
        <v>0.27500000000000002</v>
      </c>
      <c r="F911" s="72">
        <v>0.45</v>
      </c>
      <c r="G911" s="72">
        <v>0</v>
      </c>
      <c r="H911" s="87"/>
      <c r="I911" s="87"/>
    </row>
    <row r="912" spans="3:9" x14ac:dyDescent="0.2">
      <c r="C912" s="72">
        <v>0</v>
      </c>
      <c r="D912" s="72">
        <v>0.27500000000000002</v>
      </c>
      <c r="E912" s="72">
        <v>0.27500000000000002</v>
      </c>
      <c r="F912" s="72">
        <v>0</v>
      </c>
      <c r="G912" s="72">
        <v>0.45</v>
      </c>
      <c r="H912" s="87"/>
      <c r="I912" s="87"/>
    </row>
    <row r="913" spans="3:9" x14ac:dyDescent="0.2">
      <c r="C913" s="72">
        <v>0</v>
      </c>
      <c r="D913" s="72">
        <v>0.27500000000000002</v>
      </c>
      <c r="E913" s="72">
        <v>0</v>
      </c>
      <c r="F913" s="72">
        <v>0.45</v>
      </c>
      <c r="G913" s="72">
        <v>0.27500000000000002</v>
      </c>
      <c r="H913" s="87"/>
      <c r="I913" s="87"/>
    </row>
    <row r="914" spans="3:9" x14ac:dyDescent="0.2">
      <c r="C914" s="72">
        <v>0</v>
      </c>
      <c r="D914" s="72">
        <v>0.27500000000000002</v>
      </c>
      <c r="E914" s="72">
        <v>0</v>
      </c>
      <c r="F914" s="72">
        <v>0.27500000000000002</v>
      </c>
      <c r="G914" s="72">
        <v>0.45</v>
      </c>
      <c r="H914" s="87"/>
      <c r="I914" s="87"/>
    </row>
    <row r="915" spans="3:9" x14ac:dyDescent="0.2">
      <c r="C915" s="72">
        <v>0</v>
      </c>
      <c r="D915" s="72">
        <v>0.26666699999999999</v>
      </c>
      <c r="E915" s="72">
        <v>0.26666699999999999</v>
      </c>
      <c r="F915" s="72">
        <v>0.26666699999999999</v>
      </c>
      <c r="G915" s="72">
        <v>0.2</v>
      </c>
      <c r="H915" s="87"/>
      <c r="I915" s="87"/>
    </row>
    <row r="916" spans="3:9" x14ac:dyDescent="0.2">
      <c r="C916" s="72">
        <v>0</v>
      </c>
      <c r="D916" s="72">
        <v>0.26666699999999999</v>
      </c>
      <c r="E916" s="72">
        <v>0.26666699999999999</v>
      </c>
      <c r="F916" s="72">
        <v>0.2</v>
      </c>
      <c r="G916" s="72">
        <v>0.26666699999999999</v>
      </c>
      <c r="H916" s="87"/>
      <c r="I916" s="87"/>
    </row>
    <row r="917" spans="3:9" x14ac:dyDescent="0.2">
      <c r="C917" s="72">
        <v>0</v>
      </c>
      <c r="D917" s="72">
        <v>0.26666699999999999</v>
      </c>
      <c r="E917" s="72">
        <v>0.2</v>
      </c>
      <c r="F917" s="72">
        <v>0.26666699999999999</v>
      </c>
      <c r="G917" s="72">
        <v>0.26666699999999999</v>
      </c>
      <c r="H917" s="87"/>
      <c r="I917" s="87"/>
    </row>
    <row r="918" spans="3:9" x14ac:dyDescent="0.2">
      <c r="C918" s="72">
        <v>0</v>
      </c>
      <c r="D918" s="72">
        <v>0.25</v>
      </c>
      <c r="E918" s="72">
        <v>0.75</v>
      </c>
      <c r="F918" s="72">
        <v>0</v>
      </c>
      <c r="G918" s="72">
        <v>0</v>
      </c>
      <c r="H918" s="87"/>
      <c r="I918" s="87"/>
    </row>
    <row r="919" spans="3:9" x14ac:dyDescent="0.2">
      <c r="C919" s="72">
        <v>0</v>
      </c>
      <c r="D919" s="72">
        <v>0.25</v>
      </c>
      <c r="E919" s="72">
        <v>0.5</v>
      </c>
      <c r="F919" s="72">
        <v>0.25</v>
      </c>
      <c r="G919" s="72">
        <v>0</v>
      </c>
      <c r="H919" s="87"/>
      <c r="I919" s="87"/>
    </row>
    <row r="920" spans="3:9" x14ac:dyDescent="0.2">
      <c r="C920" s="72">
        <v>0</v>
      </c>
      <c r="D920" s="72">
        <v>0.25</v>
      </c>
      <c r="E920" s="72">
        <v>0.5</v>
      </c>
      <c r="F920" s="72">
        <v>0</v>
      </c>
      <c r="G920" s="72">
        <v>0.25</v>
      </c>
      <c r="H920" s="87"/>
      <c r="I920" s="87"/>
    </row>
    <row r="921" spans="3:9" x14ac:dyDescent="0.2">
      <c r="C921" s="72">
        <v>0</v>
      </c>
      <c r="D921" s="72">
        <v>0.25</v>
      </c>
      <c r="E921" s="72">
        <v>0.375</v>
      </c>
      <c r="F921" s="72">
        <v>0.375</v>
      </c>
      <c r="G921" s="72">
        <v>0</v>
      </c>
      <c r="H921" s="87"/>
      <c r="I921" s="87"/>
    </row>
    <row r="922" spans="3:9" x14ac:dyDescent="0.2">
      <c r="C922" s="72">
        <v>0</v>
      </c>
      <c r="D922" s="72">
        <v>0.25</v>
      </c>
      <c r="E922" s="72">
        <v>0.375</v>
      </c>
      <c r="F922" s="72">
        <v>0</v>
      </c>
      <c r="G922" s="72">
        <v>0.375</v>
      </c>
      <c r="H922" s="87"/>
      <c r="I922" s="87"/>
    </row>
    <row r="923" spans="3:9" x14ac:dyDescent="0.2">
      <c r="C923" s="72">
        <v>0</v>
      </c>
      <c r="D923" s="72">
        <v>0.25</v>
      </c>
      <c r="E923" s="72">
        <v>0.25</v>
      </c>
      <c r="F923" s="72">
        <v>0.5</v>
      </c>
      <c r="G923" s="72">
        <v>0</v>
      </c>
      <c r="H923" s="87"/>
      <c r="I923" s="87"/>
    </row>
    <row r="924" spans="3:9" x14ac:dyDescent="0.2">
      <c r="C924" s="72">
        <v>0</v>
      </c>
      <c r="D924" s="72">
        <v>0.25</v>
      </c>
      <c r="E924" s="72">
        <v>0.25</v>
      </c>
      <c r="F924" s="72">
        <v>0.25</v>
      </c>
      <c r="G924" s="72">
        <v>0.25</v>
      </c>
      <c r="H924" s="87"/>
      <c r="I924" s="87"/>
    </row>
    <row r="925" spans="3:9" x14ac:dyDescent="0.2">
      <c r="C925" s="72">
        <v>0</v>
      </c>
      <c r="D925" s="72">
        <v>0.25</v>
      </c>
      <c r="E925" s="72">
        <v>0.25</v>
      </c>
      <c r="F925" s="72">
        <v>0</v>
      </c>
      <c r="G925" s="72">
        <v>0.5</v>
      </c>
      <c r="H925" s="87"/>
      <c r="I925" s="87"/>
    </row>
    <row r="926" spans="3:9" x14ac:dyDescent="0.2">
      <c r="C926" s="72">
        <v>0</v>
      </c>
      <c r="D926" s="72">
        <v>0.25</v>
      </c>
      <c r="E926" s="72">
        <v>0</v>
      </c>
      <c r="F926" s="72">
        <v>0.75</v>
      </c>
      <c r="G926" s="72">
        <v>0</v>
      </c>
      <c r="H926" s="87"/>
      <c r="I926" s="87"/>
    </row>
    <row r="927" spans="3:9" x14ac:dyDescent="0.2">
      <c r="C927" s="72">
        <v>0</v>
      </c>
      <c r="D927" s="72">
        <v>0.25</v>
      </c>
      <c r="E927" s="72">
        <v>0</v>
      </c>
      <c r="F927" s="72">
        <v>0.5</v>
      </c>
      <c r="G927" s="72">
        <v>0.25</v>
      </c>
      <c r="H927" s="87"/>
      <c r="I927" s="87"/>
    </row>
    <row r="928" spans="3:9" x14ac:dyDescent="0.2">
      <c r="C928" s="72">
        <v>0</v>
      </c>
      <c r="D928" s="72">
        <v>0.25</v>
      </c>
      <c r="E928" s="72">
        <v>0</v>
      </c>
      <c r="F928" s="72">
        <v>0.375</v>
      </c>
      <c r="G928" s="72">
        <v>0.375</v>
      </c>
      <c r="H928" s="87"/>
      <c r="I928" s="87"/>
    </row>
    <row r="929" spans="3:9" x14ac:dyDescent="0.2">
      <c r="C929" s="72">
        <v>0</v>
      </c>
      <c r="D929" s="72">
        <v>0.25</v>
      </c>
      <c r="E929" s="72">
        <v>0</v>
      </c>
      <c r="F929" s="72">
        <v>0.25</v>
      </c>
      <c r="G929" s="72">
        <v>0.5</v>
      </c>
      <c r="H929" s="87"/>
      <c r="I929" s="87"/>
    </row>
    <row r="930" spans="3:9" x14ac:dyDescent="0.2">
      <c r="C930" s="72">
        <v>0</v>
      </c>
      <c r="D930" s="72">
        <v>0.25</v>
      </c>
      <c r="E930" s="72">
        <v>0</v>
      </c>
      <c r="F930" s="72">
        <v>0</v>
      </c>
      <c r="G930" s="72">
        <v>0.75</v>
      </c>
      <c r="H930" s="87"/>
      <c r="I930" s="87"/>
    </row>
    <row r="931" spans="3:9" x14ac:dyDescent="0.2">
      <c r="C931" s="72">
        <v>0</v>
      </c>
      <c r="D931" s="72">
        <v>0.23333300000000001</v>
      </c>
      <c r="E931" s="72">
        <v>0.3</v>
      </c>
      <c r="F931" s="72">
        <v>0.23333300000000001</v>
      </c>
      <c r="G931" s="72">
        <v>0.23333300000000001</v>
      </c>
      <c r="H931" s="87"/>
      <c r="I931" s="87"/>
    </row>
    <row r="932" spans="3:9" x14ac:dyDescent="0.2">
      <c r="C932" s="72">
        <v>0</v>
      </c>
      <c r="D932" s="72">
        <v>0.23333300000000001</v>
      </c>
      <c r="E932" s="72">
        <v>0.23333300000000001</v>
      </c>
      <c r="F932" s="72">
        <v>0.3</v>
      </c>
      <c r="G932" s="72">
        <v>0.23333300000000001</v>
      </c>
      <c r="H932" s="87"/>
      <c r="I932" s="87"/>
    </row>
    <row r="933" spans="3:9" x14ac:dyDescent="0.2">
      <c r="C933" s="72">
        <v>0</v>
      </c>
      <c r="D933" s="72">
        <v>0.23333300000000001</v>
      </c>
      <c r="E933" s="72">
        <v>0.23333300000000001</v>
      </c>
      <c r="F933" s="72">
        <v>0.23333300000000001</v>
      </c>
      <c r="G933" s="72">
        <v>0.3</v>
      </c>
      <c r="H933" s="87"/>
      <c r="I933" s="87"/>
    </row>
    <row r="934" spans="3:9" x14ac:dyDescent="0.2">
      <c r="C934" s="72">
        <v>0</v>
      </c>
      <c r="D934" s="72">
        <v>0.22500000000000001</v>
      </c>
      <c r="E934" s="72">
        <v>0.55000000000000004</v>
      </c>
      <c r="F934" s="72">
        <v>0.22500000000000001</v>
      </c>
      <c r="G934" s="72">
        <v>0</v>
      </c>
      <c r="H934" s="87"/>
      <c r="I934" s="87"/>
    </row>
    <row r="935" spans="3:9" x14ac:dyDescent="0.2">
      <c r="C935" s="72">
        <v>0</v>
      </c>
      <c r="D935" s="72">
        <v>0.22500000000000001</v>
      </c>
      <c r="E935" s="72">
        <v>0.55000000000000004</v>
      </c>
      <c r="F935" s="72">
        <v>0</v>
      </c>
      <c r="G935" s="72">
        <v>0.22500000000000001</v>
      </c>
      <c r="H935" s="87"/>
      <c r="I935" s="87"/>
    </row>
    <row r="936" spans="3:9" x14ac:dyDescent="0.2">
      <c r="C936" s="72">
        <v>0</v>
      </c>
      <c r="D936" s="72">
        <v>0.22500000000000001</v>
      </c>
      <c r="E936" s="72">
        <v>0.22500000000000001</v>
      </c>
      <c r="F936" s="72">
        <v>0.55000000000000004</v>
      </c>
      <c r="G936" s="72">
        <v>0</v>
      </c>
      <c r="H936" s="87"/>
      <c r="I936" s="87"/>
    </row>
    <row r="937" spans="3:9" x14ac:dyDescent="0.2">
      <c r="C937" s="72">
        <v>0</v>
      </c>
      <c r="D937" s="72">
        <v>0.22500000000000001</v>
      </c>
      <c r="E937" s="72">
        <v>0.22500000000000001</v>
      </c>
      <c r="F937" s="72">
        <v>0</v>
      </c>
      <c r="G937" s="72">
        <v>0.55000000000000004</v>
      </c>
      <c r="H937" s="87"/>
      <c r="I937" s="87"/>
    </row>
    <row r="938" spans="3:9" x14ac:dyDescent="0.2">
      <c r="C938" s="72">
        <v>0</v>
      </c>
      <c r="D938" s="72">
        <v>0.22500000000000001</v>
      </c>
      <c r="E938" s="72">
        <v>0</v>
      </c>
      <c r="F938" s="72">
        <v>0.55000000000000004</v>
      </c>
      <c r="G938" s="72">
        <v>0.22500000000000001</v>
      </c>
      <c r="H938" s="87"/>
      <c r="I938" s="87"/>
    </row>
    <row r="939" spans="3:9" x14ac:dyDescent="0.2">
      <c r="C939" s="72">
        <v>0</v>
      </c>
      <c r="D939" s="72">
        <v>0.22500000000000001</v>
      </c>
      <c r="E939" s="72">
        <v>0</v>
      </c>
      <c r="F939" s="72">
        <v>0.22500000000000001</v>
      </c>
      <c r="G939" s="72">
        <v>0.55000000000000004</v>
      </c>
      <c r="H939" s="87"/>
      <c r="I939" s="87"/>
    </row>
    <row r="940" spans="3:9" x14ac:dyDescent="0.2">
      <c r="C940" s="72">
        <v>0</v>
      </c>
      <c r="D940" s="72">
        <v>0.216667</v>
      </c>
      <c r="E940" s="72">
        <v>0.35</v>
      </c>
      <c r="F940" s="72">
        <v>0.216667</v>
      </c>
      <c r="G940" s="72">
        <v>0.216667</v>
      </c>
      <c r="H940" s="87"/>
      <c r="I940" s="87"/>
    </row>
    <row r="941" spans="3:9" x14ac:dyDescent="0.2">
      <c r="C941" s="72">
        <v>0</v>
      </c>
      <c r="D941" s="72">
        <v>0.216667</v>
      </c>
      <c r="E941" s="72">
        <v>0.216667</v>
      </c>
      <c r="F941" s="72">
        <v>0.35</v>
      </c>
      <c r="G941" s="72">
        <v>0.216667</v>
      </c>
      <c r="H941" s="87"/>
      <c r="I941" s="87"/>
    </row>
    <row r="942" spans="3:9" x14ac:dyDescent="0.2">
      <c r="C942" s="72">
        <v>0</v>
      </c>
      <c r="D942" s="72">
        <v>0.216667</v>
      </c>
      <c r="E942" s="72">
        <v>0.216667</v>
      </c>
      <c r="F942" s="72">
        <v>0.216667</v>
      </c>
      <c r="G942" s="72">
        <v>0.35</v>
      </c>
      <c r="H942" s="87"/>
      <c r="I942" s="87"/>
    </row>
    <row r="943" spans="3:9" x14ac:dyDescent="0.2">
      <c r="C943" s="72">
        <v>0</v>
      </c>
      <c r="D943" s="72">
        <v>0.2</v>
      </c>
      <c r="E943" s="72">
        <v>0.8</v>
      </c>
      <c r="F943" s="72">
        <v>0</v>
      </c>
      <c r="G943" s="72">
        <v>0</v>
      </c>
      <c r="H943" s="87"/>
      <c r="I943" s="87"/>
    </row>
    <row r="944" spans="3:9" x14ac:dyDescent="0.2">
      <c r="C944" s="72">
        <v>0</v>
      </c>
      <c r="D944" s="72">
        <v>0.2</v>
      </c>
      <c r="E944" s="72">
        <v>0.6</v>
      </c>
      <c r="F944" s="72">
        <v>0.2</v>
      </c>
      <c r="G944" s="72">
        <v>0</v>
      </c>
      <c r="H944" s="87"/>
      <c r="I944" s="87"/>
    </row>
    <row r="945" spans="3:9" x14ac:dyDescent="0.2">
      <c r="C945" s="72">
        <v>0</v>
      </c>
      <c r="D945" s="72">
        <v>0.2</v>
      </c>
      <c r="E945" s="72">
        <v>0.6</v>
      </c>
      <c r="F945" s="72">
        <v>0</v>
      </c>
      <c r="G945" s="72">
        <v>0.2</v>
      </c>
      <c r="H945" s="87"/>
      <c r="I945" s="87"/>
    </row>
    <row r="946" spans="3:9" x14ac:dyDescent="0.2">
      <c r="C946" s="72">
        <v>0</v>
      </c>
      <c r="D946" s="72">
        <v>0.2</v>
      </c>
      <c r="E946" s="72">
        <v>0.4</v>
      </c>
      <c r="F946" s="72">
        <v>0.4</v>
      </c>
      <c r="G946" s="72">
        <v>0</v>
      </c>
      <c r="H946" s="87"/>
      <c r="I946" s="87"/>
    </row>
    <row r="947" spans="3:9" x14ac:dyDescent="0.2">
      <c r="C947" s="72">
        <v>0</v>
      </c>
      <c r="D947" s="72">
        <v>0.2</v>
      </c>
      <c r="E947" s="72">
        <v>0.4</v>
      </c>
      <c r="F947" s="72">
        <v>0.2</v>
      </c>
      <c r="G947" s="72">
        <v>0.2</v>
      </c>
      <c r="H947" s="87"/>
      <c r="I947" s="87"/>
    </row>
    <row r="948" spans="3:9" x14ac:dyDescent="0.2">
      <c r="C948" s="72">
        <v>0</v>
      </c>
      <c r="D948" s="72">
        <v>0.2</v>
      </c>
      <c r="E948" s="72">
        <v>0.4</v>
      </c>
      <c r="F948" s="72">
        <v>0</v>
      </c>
      <c r="G948" s="72">
        <v>0.4</v>
      </c>
      <c r="H948" s="87"/>
      <c r="I948" s="87"/>
    </row>
    <row r="949" spans="3:9" x14ac:dyDescent="0.2">
      <c r="C949" s="72">
        <v>0</v>
      </c>
      <c r="D949" s="72">
        <v>0.2</v>
      </c>
      <c r="E949" s="72">
        <v>0.26666699999999999</v>
      </c>
      <c r="F949" s="72">
        <v>0.26666699999999999</v>
      </c>
      <c r="G949" s="72">
        <v>0.26666699999999999</v>
      </c>
      <c r="H949" s="87"/>
      <c r="I949" s="87"/>
    </row>
    <row r="950" spans="3:9" x14ac:dyDescent="0.2">
      <c r="C950" s="72">
        <v>0</v>
      </c>
      <c r="D950" s="72">
        <v>0.2</v>
      </c>
      <c r="E950" s="72">
        <v>0.2</v>
      </c>
      <c r="F950" s="72">
        <v>0.6</v>
      </c>
      <c r="G950" s="72">
        <v>0</v>
      </c>
      <c r="H950" s="87"/>
      <c r="I950" s="87"/>
    </row>
    <row r="951" spans="3:9" x14ac:dyDescent="0.2">
      <c r="C951" s="72">
        <v>0</v>
      </c>
      <c r="D951" s="72">
        <v>0.2</v>
      </c>
      <c r="E951" s="72">
        <v>0.2</v>
      </c>
      <c r="F951" s="72">
        <v>0.4</v>
      </c>
      <c r="G951" s="72">
        <v>0.2</v>
      </c>
      <c r="H951" s="87"/>
      <c r="I951" s="87"/>
    </row>
    <row r="952" spans="3:9" x14ac:dyDescent="0.2">
      <c r="C952" s="72">
        <v>0</v>
      </c>
      <c r="D952" s="72">
        <v>0.2</v>
      </c>
      <c r="E952" s="72">
        <v>0.2</v>
      </c>
      <c r="F952" s="72">
        <v>0.2</v>
      </c>
      <c r="G952" s="72">
        <v>0.4</v>
      </c>
      <c r="H952" s="87"/>
      <c r="I952" s="87"/>
    </row>
    <row r="953" spans="3:9" x14ac:dyDescent="0.2">
      <c r="C953" s="72">
        <v>0</v>
      </c>
      <c r="D953" s="72">
        <v>0.2</v>
      </c>
      <c r="E953" s="72">
        <v>0.2</v>
      </c>
      <c r="F953" s="72">
        <v>0</v>
      </c>
      <c r="G953" s="72">
        <v>0.6</v>
      </c>
      <c r="H953" s="87"/>
      <c r="I953" s="87"/>
    </row>
    <row r="954" spans="3:9" x14ac:dyDescent="0.2">
      <c r="C954" s="72">
        <v>0</v>
      </c>
      <c r="D954" s="72">
        <v>0.2</v>
      </c>
      <c r="E954" s="72">
        <v>0</v>
      </c>
      <c r="F954" s="72">
        <v>0.8</v>
      </c>
      <c r="G954" s="72">
        <v>0</v>
      </c>
      <c r="H954" s="87"/>
      <c r="I954" s="87"/>
    </row>
    <row r="955" spans="3:9" x14ac:dyDescent="0.2">
      <c r="C955" s="72">
        <v>0</v>
      </c>
      <c r="D955" s="72">
        <v>0.2</v>
      </c>
      <c r="E955" s="72">
        <v>0</v>
      </c>
      <c r="F955" s="72">
        <v>0.6</v>
      </c>
      <c r="G955" s="72">
        <v>0.2</v>
      </c>
      <c r="H955" s="87"/>
      <c r="I955" s="87"/>
    </row>
    <row r="956" spans="3:9" x14ac:dyDescent="0.2">
      <c r="C956" s="72">
        <v>0</v>
      </c>
      <c r="D956" s="72">
        <v>0.2</v>
      </c>
      <c r="E956" s="72">
        <v>0</v>
      </c>
      <c r="F956" s="72">
        <v>0.4</v>
      </c>
      <c r="G956" s="72">
        <v>0.4</v>
      </c>
      <c r="H956" s="87"/>
      <c r="I956" s="87"/>
    </row>
    <row r="957" spans="3:9" x14ac:dyDescent="0.2">
      <c r="C957" s="72">
        <v>0</v>
      </c>
      <c r="D957" s="72">
        <v>0.2</v>
      </c>
      <c r="E957" s="72">
        <v>0</v>
      </c>
      <c r="F957" s="72">
        <v>0.2</v>
      </c>
      <c r="G957" s="72">
        <v>0.6</v>
      </c>
      <c r="H957" s="87"/>
      <c r="I957" s="87"/>
    </row>
    <row r="958" spans="3:9" x14ac:dyDescent="0.2">
      <c r="C958" s="72">
        <v>0</v>
      </c>
      <c r="D958" s="72">
        <v>0.2</v>
      </c>
      <c r="E958" s="72">
        <v>0</v>
      </c>
      <c r="F958" s="72">
        <v>0</v>
      </c>
      <c r="G958" s="72">
        <v>0.8</v>
      </c>
      <c r="H958" s="87"/>
      <c r="I958" s="87"/>
    </row>
    <row r="959" spans="3:9" x14ac:dyDescent="0.2">
      <c r="C959" s="72">
        <v>0</v>
      </c>
      <c r="D959" s="72">
        <v>0.183333</v>
      </c>
      <c r="E959" s="72">
        <v>0.45</v>
      </c>
      <c r="F959" s="72">
        <v>0.183333</v>
      </c>
      <c r="G959" s="72">
        <v>0.183333</v>
      </c>
      <c r="H959" s="87"/>
      <c r="I959" s="87"/>
    </row>
    <row r="960" spans="3:9" x14ac:dyDescent="0.2">
      <c r="C960" s="72">
        <v>0</v>
      </c>
      <c r="D960" s="72">
        <v>0.183333</v>
      </c>
      <c r="E960" s="72">
        <v>0.183333</v>
      </c>
      <c r="F960" s="72">
        <v>0.45</v>
      </c>
      <c r="G960" s="72">
        <v>0.183333</v>
      </c>
      <c r="H960" s="87"/>
      <c r="I960" s="87"/>
    </row>
    <row r="961" spans="3:9" x14ac:dyDescent="0.2">
      <c r="C961" s="72">
        <v>0</v>
      </c>
      <c r="D961" s="72">
        <v>0.183333</v>
      </c>
      <c r="E961" s="72">
        <v>0.183333</v>
      </c>
      <c r="F961" s="72">
        <v>0.183333</v>
      </c>
      <c r="G961" s="72">
        <v>0.45</v>
      </c>
      <c r="H961" s="87"/>
      <c r="I961" s="87"/>
    </row>
    <row r="962" spans="3:9" x14ac:dyDescent="0.2">
      <c r="C962" s="72">
        <v>0</v>
      </c>
      <c r="D962" s="72">
        <v>0.17499999999999999</v>
      </c>
      <c r="E962" s="72">
        <v>0.65</v>
      </c>
      <c r="F962" s="72">
        <v>0.17499999999999999</v>
      </c>
      <c r="G962" s="72">
        <v>0</v>
      </c>
      <c r="H962" s="87"/>
      <c r="I962" s="87"/>
    </row>
    <row r="963" spans="3:9" x14ac:dyDescent="0.2">
      <c r="C963" s="72">
        <v>0</v>
      </c>
      <c r="D963" s="72">
        <v>0.17499999999999999</v>
      </c>
      <c r="E963" s="72">
        <v>0.65</v>
      </c>
      <c r="F963" s="72">
        <v>0</v>
      </c>
      <c r="G963" s="72">
        <v>0.17499999999999999</v>
      </c>
      <c r="H963" s="87"/>
      <c r="I963" s="87"/>
    </row>
    <row r="964" spans="3:9" x14ac:dyDescent="0.2">
      <c r="C964" s="72">
        <v>0</v>
      </c>
      <c r="D964" s="72">
        <v>0.17499999999999999</v>
      </c>
      <c r="E964" s="72">
        <v>0.17499999999999999</v>
      </c>
      <c r="F964" s="72">
        <v>0.65</v>
      </c>
      <c r="G964" s="72">
        <v>0</v>
      </c>
      <c r="H964" s="87"/>
      <c r="I964" s="87"/>
    </row>
    <row r="965" spans="3:9" x14ac:dyDescent="0.2">
      <c r="C965" s="72">
        <v>0</v>
      </c>
      <c r="D965" s="72">
        <v>0.17499999999999999</v>
      </c>
      <c r="E965" s="72">
        <v>0.17499999999999999</v>
      </c>
      <c r="F965" s="72">
        <v>0</v>
      </c>
      <c r="G965" s="72">
        <v>0.65</v>
      </c>
      <c r="H965" s="87"/>
      <c r="I965" s="87"/>
    </row>
    <row r="966" spans="3:9" x14ac:dyDescent="0.2">
      <c r="C966" s="72">
        <v>0</v>
      </c>
      <c r="D966" s="72">
        <v>0.17499999999999999</v>
      </c>
      <c r="E966" s="72">
        <v>0</v>
      </c>
      <c r="F966" s="72">
        <v>0.65</v>
      </c>
      <c r="G966" s="72">
        <v>0.17499999999999999</v>
      </c>
      <c r="H966" s="87"/>
      <c r="I966" s="87"/>
    </row>
    <row r="967" spans="3:9" x14ac:dyDescent="0.2">
      <c r="C967" s="72">
        <v>0</v>
      </c>
      <c r="D967" s="72">
        <v>0.17499999999999999</v>
      </c>
      <c r="E967" s="72">
        <v>0</v>
      </c>
      <c r="F967" s="72">
        <v>0.17499999999999999</v>
      </c>
      <c r="G967" s="72">
        <v>0.65</v>
      </c>
      <c r="H967" s="87"/>
      <c r="I967" s="87"/>
    </row>
    <row r="968" spans="3:9" x14ac:dyDescent="0.2">
      <c r="C968" s="72">
        <v>0</v>
      </c>
      <c r="D968" s="72">
        <v>0.16666700000000001</v>
      </c>
      <c r="E968" s="72">
        <v>0.5</v>
      </c>
      <c r="F968" s="72">
        <v>0.16666700000000001</v>
      </c>
      <c r="G968" s="72">
        <v>0.16666700000000001</v>
      </c>
      <c r="H968" s="87"/>
      <c r="I968" s="87"/>
    </row>
    <row r="969" spans="3:9" x14ac:dyDescent="0.2">
      <c r="C969" s="72">
        <v>0</v>
      </c>
      <c r="D969" s="72">
        <v>0.16666700000000001</v>
      </c>
      <c r="E969" s="72">
        <v>0.16666700000000001</v>
      </c>
      <c r="F969" s="72">
        <v>0.5</v>
      </c>
      <c r="G969" s="72">
        <v>0.16666700000000001</v>
      </c>
      <c r="H969" s="87"/>
      <c r="I969" s="87"/>
    </row>
    <row r="970" spans="3:9" x14ac:dyDescent="0.2">
      <c r="C970" s="72">
        <v>0</v>
      </c>
      <c r="D970" s="72">
        <v>0.16666700000000001</v>
      </c>
      <c r="E970" s="72">
        <v>0.16666700000000001</v>
      </c>
      <c r="F970" s="72">
        <v>0.16666700000000001</v>
      </c>
      <c r="G970" s="72">
        <v>0.5</v>
      </c>
      <c r="H970" s="87"/>
      <c r="I970" s="87"/>
    </row>
    <row r="971" spans="3:9" x14ac:dyDescent="0.2">
      <c r="C971" s="72">
        <v>0</v>
      </c>
      <c r="D971" s="72">
        <v>0.15</v>
      </c>
      <c r="E971" s="72">
        <v>0.85</v>
      </c>
      <c r="F971" s="72">
        <v>0</v>
      </c>
      <c r="G971" s="72">
        <v>0</v>
      </c>
      <c r="H971" s="87"/>
      <c r="I971" s="87"/>
    </row>
    <row r="972" spans="3:9" x14ac:dyDescent="0.2">
      <c r="C972" s="72">
        <v>0</v>
      </c>
      <c r="D972" s="72">
        <v>0.15</v>
      </c>
      <c r="E972" s="72">
        <v>0.7</v>
      </c>
      <c r="F972" s="72">
        <v>0.15</v>
      </c>
      <c r="G972" s="72">
        <v>0</v>
      </c>
      <c r="H972" s="87"/>
      <c r="I972" s="87"/>
    </row>
    <row r="973" spans="3:9" x14ac:dyDescent="0.2">
      <c r="C973" s="72">
        <v>0</v>
      </c>
      <c r="D973" s="72">
        <v>0.15</v>
      </c>
      <c r="E973" s="72">
        <v>0.7</v>
      </c>
      <c r="F973" s="72">
        <v>0</v>
      </c>
      <c r="G973" s="72">
        <v>0.15</v>
      </c>
      <c r="H973" s="87"/>
      <c r="I973" s="87"/>
    </row>
    <row r="974" spans="3:9" x14ac:dyDescent="0.2">
      <c r="C974" s="72">
        <v>0</v>
      </c>
      <c r="D974" s="72">
        <v>0.15</v>
      </c>
      <c r="E974" s="72">
        <v>0.55000000000000004</v>
      </c>
      <c r="F974" s="72">
        <v>0.15</v>
      </c>
      <c r="G974" s="72">
        <v>0.15</v>
      </c>
      <c r="H974" s="87"/>
      <c r="I974" s="87"/>
    </row>
    <row r="975" spans="3:9" x14ac:dyDescent="0.2">
      <c r="C975" s="72">
        <v>0</v>
      </c>
      <c r="D975" s="72">
        <v>0.15</v>
      </c>
      <c r="E975" s="72">
        <v>0.42499999999999999</v>
      </c>
      <c r="F975" s="72">
        <v>0.42499999999999999</v>
      </c>
      <c r="G975" s="72">
        <v>0</v>
      </c>
      <c r="H975" s="87"/>
      <c r="I975" s="87"/>
    </row>
    <row r="976" spans="3:9" x14ac:dyDescent="0.2">
      <c r="C976" s="72">
        <v>0</v>
      </c>
      <c r="D976" s="72">
        <v>0.15</v>
      </c>
      <c r="E976" s="72">
        <v>0.42499999999999999</v>
      </c>
      <c r="F976" s="72">
        <v>0</v>
      </c>
      <c r="G976" s="72">
        <v>0.42499999999999999</v>
      </c>
      <c r="H976" s="87"/>
      <c r="I976" s="87"/>
    </row>
    <row r="977" spans="3:9" x14ac:dyDescent="0.2">
      <c r="C977" s="72">
        <v>0</v>
      </c>
      <c r="D977" s="72">
        <v>0.15</v>
      </c>
      <c r="E977" s="72">
        <v>0.283333</v>
      </c>
      <c r="F977" s="72">
        <v>0.283333</v>
      </c>
      <c r="G977" s="72">
        <v>0.283333</v>
      </c>
      <c r="H977" s="87"/>
      <c r="I977" s="87"/>
    </row>
    <row r="978" spans="3:9" x14ac:dyDescent="0.2">
      <c r="C978" s="72">
        <v>0</v>
      </c>
      <c r="D978" s="72">
        <v>0.15</v>
      </c>
      <c r="E978" s="72">
        <v>0.15</v>
      </c>
      <c r="F978" s="72">
        <v>0.7</v>
      </c>
      <c r="G978" s="72">
        <v>0</v>
      </c>
      <c r="H978" s="87"/>
      <c r="I978" s="87"/>
    </row>
    <row r="979" spans="3:9" x14ac:dyDescent="0.2">
      <c r="C979" s="72">
        <v>0</v>
      </c>
      <c r="D979" s="72">
        <v>0.15</v>
      </c>
      <c r="E979" s="72">
        <v>0.15</v>
      </c>
      <c r="F979" s="72">
        <v>0.55000000000000004</v>
      </c>
      <c r="G979" s="72">
        <v>0.15</v>
      </c>
      <c r="H979" s="87"/>
      <c r="I979" s="87"/>
    </row>
    <row r="980" spans="3:9" x14ac:dyDescent="0.2">
      <c r="C980" s="72">
        <v>0</v>
      </c>
      <c r="D980" s="72">
        <v>0.15</v>
      </c>
      <c r="E980" s="72">
        <v>0.15</v>
      </c>
      <c r="F980" s="72">
        <v>0.15</v>
      </c>
      <c r="G980" s="72">
        <v>0.55000000000000004</v>
      </c>
      <c r="H980" s="87"/>
      <c r="I980" s="87"/>
    </row>
    <row r="981" spans="3:9" x14ac:dyDescent="0.2">
      <c r="C981" s="72">
        <v>0</v>
      </c>
      <c r="D981" s="72">
        <v>0.15</v>
      </c>
      <c r="E981" s="72">
        <v>0.15</v>
      </c>
      <c r="F981" s="72">
        <v>0</v>
      </c>
      <c r="G981" s="72">
        <v>0.7</v>
      </c>
      <c r="H981" s="87"/>
      <c r="I981" s="87"/>
    </row>
    <row r="982" spans="3:9" x14ac:dyDescent="0.2">
      <c r="C982" s="72">
        <v>0</v>
      </c>
      <c r="D982" s="72">
        <v>0.15</v>
      </c>
      <c r="E982" s="72">
        <v>0</v>
      </c>
      <c r="F982" s="72">
        <v>0.85</v>
      </c>
      <c r="G982" s="72">
        <v>0</v>
      </c>
      <c r="H982" s="87"/>
      <c r="I982" s="87"/>
    </row>
    <row r="983" spans="3:9" x14ac:dyDescent="0.2">
      <c r="C983" s="72">
        <v>0</v>
      </c>
      <c r="D983" s="72">
        <v>0.15</v>
      </c>
      <c r="E983" s="72">
        <v>0</v>
      </c>
      <c r="F983" s="72">
        <v>0.7</v>
      </c>
      <c r="G983" s="72">
        <v>0.15</v>
      </c>
      <c r="H983" s="87"/>
      <c r="I983" s="87"/>
    </row>
    <row r="984" spans="3:9" x14ac:dyDescent="0.2">
      <c r="C984" s="72">
        <v>0</v>
      </c>
      <c r="D984" s="72">
        <v>0.15</v>
      </c>
      <c r="E984" s="72">
        <v>0</v>
      </c>
      <c r="F984" s="72">
        <v>0.42499999999999999</v>
      </c>
      <c r="G984" s="72">
        <v>0.42499999999999999</v>
      </c>
      <c r="H984" s="87"/>
      <c r="I984" s="87"/>
    </row>
    <row r="985" spans="3:9" x14ac:dyDescent="0.2">
      <c r="C985" s="72">
        <v>0</v>
      </c>
      <c r="D985" s="72">
        <v>0.15</v>
      </c>
      <c r="E985" s="72">
        <v>0</v>
      </c>
      <c r="F985" s="72">
        <v>0.15</v>
      </c>
      <c r="G985" s="72">
        <v>0.7</v>
      </c>
      <c r="H985" s="87"/>
      <c r="I985" s="87"/>
    </row>
    <row r="986" spans="3:9" x14ac:dyDescent="0.2">
      <c r="C986" s="72">
        <v>0</v>
      </c>
      <c r="D986" s="72">
        <v>0.15</v>
      </c>
      <c r="E986" s="72">
        <v>0</v>
      </c>
      <c r="F986" s="72">
        <v>0</v>
      </c>
      <c r="G986" s="72">
        <v>0.85</v>
      </c>
      <c r="H986" s="87"/>
      <c r="I986" s="87"/>
    </row>
    <row r="987" spans="3:9" x14ac:dyDescent="0.2">
      <c r="C987" s="72">
        <v>0</v>
      </c>
      <c r="D987" s="72">
        <v>0.13333300000000001</v>
      </c>
      <c r="E987" s="72">
        <v>0.6</v>
      </c>
      <c r="F987" s="72">
        <v>0.13333300000000001</v>
      </c>
      <c r="G987" s="72">
        <v>0.13333300000000001</v>
      </c>
      <c r="H987" s="87"/>
      <c r="I987" s="87"/>
    </row>
    <row r="988" spans="3:9" x14ac:dyDescent="0.2">
      <c r="C988" s="72">
        <v>0</v>
      </c>
      <c r="D988" s="72">
        <v>0.13333300000000001</v>
      </c>
      <c r="E988" s="72">
        <v>0.13333300000000001</v>
      </c>
      <c r="F988" s="72">
        <v>0.6</v>
      </c>
      <c r="G988" s="72">
        <v>0.13333300000000001</v>
      </c>
      <c r="H988" s="87"/>
      <c r="I988" s="87"/>
    </row>
    <row r="989" spans="3:9" x14ac:dyDescent="0.2">
      <c r="C989" s="72">
        <v>0</v>
      </c>
      <c r="D989" s="72">
        <v>0.13333300000000001</v>
      </c>
      <c r="E989" s="72">
        <v>0.13333300000000001</v>
      </c>
      <c r="F989" s="72">
        <v>0.13333300000000001</v>
      </c>
      <c r="G989" s="72">
        <v>0.6</v>
      </c>
      <c r="H989" s="87"/>
      <c r="I989" s="87"/>
    </row>
    <row r="990" spans="3:9" x14ac:dyDescent="0.2">
      <c r="C990" s="72">
        <v>0</v>
      </c>
      <c r="D990" s="72">
        <v>0.125</v>
      </c>
      <c r="E990" s="72">
        <v>0.75</v>
      </c>
      <c r="F990" s="72">
        <v>0.125</v>
      </c>
      <c r="G990" s="72">
        <v>0</v>
      </c>
      <c r="H990" s="87"/>
      <c r="I990" s="87"/>
    </row>
    <row r="991" spans="3:9" x14ac:dyDescent="0.2">
      <c r="C991" s="72">
        <v>0</v>
      </c>
      <c r="D991" s="72">
        <v>0.125</v>
      </c>
      <c r="E991" s="72">
        <v>0.75</v>
      </c>
      <c r="F991" s="72">
        <v>0</v>
      </c>
      <c r="G991" s="72">
        <v>0.125</v>
      </c>
      <c r="H991" s="87"/>
      <c r="I991" s="87"/>
    </row>
    <row r="992" spans="3:9" x14ac:dyDescent="0.2">
      <c r="C992" s="72">
        <v>0</v>
      </c>
      <c r="D992" s="72">
        <v>0.125</v>
      </c>
      <c r="E992" s="72">
        <v>0.125</v>
      </c>
      <c r="F992" s="72">
        <v>0.75</v>
      </c>
      <c r="G992" s="72">
        <v>0</v>
      </c>
      <c r="H992" s="87"/>
      <c r="I992" s="87"/>
    </row>
    <row r="993" spans="3:9" x14ac:dyDescent="0.2">
      <c r="C993" s="72">
        <v>0</v>
      </c>
      <c r="D993" s="72">
        <v>0.125</v>
      </c>
      <c r="E993" s="72">
        <v>0.125</v>
      </c>
      <c r="F993" s="72">
        <v>0</v>
      </c>
      <c r="G993" s="72">
        <v>0.75</v>
      </c>
      <c r="H993" s="87"/>
      <c r="I993" s="87"/>
    </row>
    <row r="994" spans="3:9" x14ac:dyDescent="0.2">
      <c r="C994" s="72">
        <v>0</v>
      </c>
      <c r="D994" s="72">
        <v>0.125</v>
      </c>
      <c r="E994" s="72">
        <v>0</v>
      </c>
      <c r="F994" s="72">
        <v>0.75</v>
      </c>
      <c r="G994" s="72">
        <v>0.125</v>
      </c>
      <c r="H994" s="87"/>
      <c r="I994" s="87"/>
    </row>
    <row r="995" spans="3:9" x14ac:dyDescent="0.2">
      <c r="C995" s="72">
        <v>0</v>
      </c>
      <c r="D995" s="72">
        <v>0.125</v>
      </c>
      <c r="E995" s="72">
        <v>0</v>
      </c>
      <c r="F995" s="72">
        <v>0.125</v>
      </c>
      <c r="G995" s="72">
        <v>0.75</v>
      </c>
      <c r="H995" s="87"/>
      <c r="I995" s="87"/>
    </row>
    <row r="996" spans="3:9" x14ac:dyDescent="0.2">
      <c r="C996" s="72">
        <v>0</v>
      </c>
      <c r="D996" s="72">
        <v>0.11666700000000001</v>
      </c>
      <c r="E996" s="72">
        <v>0.65</v>
      </c>
      <c r="F996" s="72">
        <v>0.11666700000000001</v>
      </c>
      <c r="G996" s="72">
        <v>0.11666700000000001</v>
      </c>
      <c r="H996" s="87"/>
      <c r="I996" s="87"/>
    </row>
    <row r="997" spans="3:9" x14ac:dyDescent="0.2">
      <c r="C997" s="72">
        <v>0</v>
      </c>
      <c r="D997" s="72">
        <v>0.11666700000000001</v>
      </c>
      <c r="E997" s="72">
        <v>0.11666700000000001</v>
      </c>
      <c r="F997" s="72">
        <v>0.65</v>
      </c>
      <c r="G997" s="72">
        <v>0.11666700000000001</v>
      </c>
      <c r="H997" s="87"/>
      <c r="I997" s="87"/>
    </row>
    <row r="998" spans="3:9" x14ac:dyDescent="0.2">
      <c r="C998" s="72">
        <v>0</v>
      </c>
      <c r="D998" s="72">
        <v>0.11666700000000001</v>
      </c>
      <c r="E998" s="72">
        <v>0.11666700000000001</v>
      </c>
      <c r="F998" s="72">
        <v>0.11666700000000001</v>
      </c>
      <c r="G998" s="72">
        <v>0.65</v>
      </c>
      <c r="H998" s="87"/>
      <c r="I998" s="87"/>
    </row>
    <row r="999" spans="3:9" x14ac:dyDescent="0.2">
      <c r="C999" s="72">
        <v>0</v>
      </c>
      <c r="D999" s="72">
        <v>0.1</v>
      </c>
      <c r="E999" s="72">
        <v>0.9</v>
      </c>
      <c r="F999" s="72">
        <v>0</v>
      </c>
      <c r="G999" s="72">
        <v>0</v>
      </c>
      <c r="H999" s="87"/>
      <c r="I999" s="87"/>
    </row>
    <row r="1000" spans="3:9" x14ac:dyDescent="0.2">
      <c r="C1000" s="72">
        <v>0</v>
      </c>
      <c r="D1000" s="72">
        <v>0.1</v>
      </c>
      <c r="E1000" s="72">
        <v>0.8</v>
      </c>
      <c r="F1000" s="72">
        <v>0.1</v>
      </c>
      <c r="G1000" s="72">
        <v>0</v>
      </c>
      <c r="H1000" s="87"/>
      <c r="I1000" s="87"/>
    </row>
    <row r="1001" spans="3:9" x14ac:dyDescent="0.2">
      <c r="C1001" s="72">
        <v>0</v>
      </c>
      <c r="D1001" s="72">
        <v>0.1</v>
      </c>
      <c r="E1001" s="72">
        <v>0.8</v>
      </c>
      <c r="F1001" s="72">
        <v>0</v>
      </c>
      <c r="G1001" s="72">
        <v>0.1</v>
      </c>
      <c r="H1001" s="87"/>
      <c r="I1001" s="87"/>
    </row>
    <row r="1002" spans="3:9" x14ac:dyDescent="0.2">
      <c r="C1002" s="72">
        <v>0</v>
      </c>
      <c r="D1002" s="72">
        <v>0.1</v>
      </c>
      <c r="E1002" s="72">
        <v>0.7</v>
      </c>
      <c r="F1002" s="72">
        <v>0.1</v>
      </c>
      <c r="G1002" s="72">
        <v>0.1</v>
      </c>
      <c r="H1002" s="87"/>
      <c r="I1002" s="87"/>
    </row>
    <row r="1003" spans="3:9" x14ac:dyDescent="0.2">
      <c r="C1003" s="72">
        <v>0</v>
      </c>
      <c r="D1003" s="72">
        <v>0.1</v>
      </c>
      <c r="E1003" s="72">
        <v>0.45</v>
      </c>
      <c r="F1003" s="72">
        <v>0.45</v>
      </c>
      <c r="G1003" s="72">
        <v>0</v>
      </c>
      <c r="H1003" s="87"/>
      <c r="I1003" s="87"/>
    </row>
    <row r="1004" spans="3:9" x14ac:dyDescent="0.2">
      <c r="C1004" s="72">
        <v>0</v>
      </c>
      <c r="D1004" s="72">
        <v>0.1</v>
      </c>
      <c r="E1004" s="72">
        <v>0.45</v>
      </c>
      <c r="F1004" s="72">
        <v>0</v>
      </c>
      <c r="G1004" s="72">
        <v>0.45</v>
      </c>
      <c r="H1004" s="87"/>
      <c r="I1004" s="87"/>
    </row>
    <row r="1005" spans="3:9" x14ac:dyDescent="0.2">
      <c r="C1005" s="72">
        <v>0</v>
      </c>
      <c r="D1005" s="72">
        <v>0.1</v>
      </c>
      <c r="E1005" s="72">
        <v>0.3</v>
      </c>
      <c r="F1005" s="72">
        <v>0.3</v>
      </c>
      <c r="G1005" s="72">
        <v>0.3</v>
      </c>
      <c r="H1005" s="87"/>
      <c r="I1005" s="87"/>
    </row>
    <row r="1006" spans="3:9" x14ac:dyDescent="0.2">
      <c r="C1006" s="72">
        <v>0</v>
      </c>
      <c r="D1006" s="72">
        <v>0.1</v>
      </c>
      <c r="E1006" s="72">
        <v>0.1</v>
      </c>
      <c r="F1006" s="72">
        <v>0.8</v>
      </c>
      <c r="G1006" s="72">
        <v>0</v>
      </c>
      <c r="H1006" s="87"/>
      <c r="I1006" s="87"/>
    </row>
    <row r="1007" spans="3:9" x14ac:dyDescent="0.2">
      <c r="C1007" s="72">
        <v>0</v>
      </c>
      <c r="D1007" s="72">
        <v>0.1</v>
      </c>
      <c r="E1007" s="72">
        <v>0.1</v>
      </c>
      <c r="F1007" s="72">
        <v>0.7</v>
      </c>
      <c r="G1007" s="72">
        <v>0.1</v>
      </c>
      <c r="H1007" s="87"/>
      <c r="I1007" s="87"/>
    </row>
    <row r="1008" spans="3:9" x14ac:dyDescent="0.2">
      <c r="C1008" s="72">
        <v>0</v>
      </c>
      <c r="D1008" s="72">
        <v>0.1</v>
      </c>
      <c r="E1008" s="72">
        <v>0.1</v>
      </c>
      <c r="F1008" s="72">
        <v>0.1</v>
      </c>
      <c r="G1008" s="72">
        <v>0.7</v>
      </c>
      <c r="H1008" s="87"/>
      <c r="I1008" s="87"/>
    </row>
    <row r="1009" spans="3:9" x14ac:dyDescent="0.2">
      <c r="C1009" s="72">
        <v>0</v>
      </c>
      <c r="D1009" s="72">
        <v>0.1</v>
      </c>
      <c r="E1009" s="72">
        <v>0.1</v>
      </c>
      <c r="F1009" s="72">
        <v>0</v>
      </c>
      <c r="G1009" s="72">
        <v>0.8</v>
      </c>
      <c r="H1009" s="87"/>
      <c r="I1009" s="87"/>
    </row>
    <row r="1010" spans="3:9" x14ac:dyDescent="0.2">
      <c r="C1010" s="72">
        <v>0</v>
      </c>
      <c r="D1010" s="72">
        <v>0.1</v>
      </c>
      <c r="E1010" s="72">
        <v>0</v>
      </c>
      <c r="F1010" s="72">
        <v>0.9</v>
      </c>
      <c r="G1010" s="72">
        <v>0</v>
      </c>
      <c r="H1010" s="87"/>
      <c r="I1010" s="87"/>
    </row>
    <row r="1011" spans="3:9" x14ac:dyDescent="0.2">
      <c r="C1011" s="72">
        <v>0</v>
      </c>
      <c r="D1011" s="72">
        <v>0.1</v>
      </c>
      <c r="E1011" s="72">
        <v>0</v>
      </c>
      <c r="F1011" s="72">
        <v>0.8</v>
      </c>
      <c r="G1011" s="72">
        <v>0.1</v>
      </c>
      <c r="H1011" s="87"/>
      <c r="I1011" s="87"/>
    </row>
    <row r="1012" spans="3:9" x14ac:dyDescent="0.2">
      <c r="C1012" s="72">
        <v>0</v>
      </c>
      <c r="D1012" s="72">
        <v>0.1</v>
      </c>
      <c r="E1012" s="72">
        <v>0</v>
      </c>
      <c r="F1012" s="72">
        <v>0.45</v>
      </c>
      <c r="G1012" s="72">
        <v>0.45</v>
      </c>
      <c r="H1012" s="87"/>
      <c r="I1012" s="87"/>
    </row>
    <row r="1013" spans="3:9" x14ac:dyDescent="0.2">
      <c r="C1013" s="72">
        <v>0</v>
      </c>
      <c r="D1013" s="72">
        <v>0.1</v>
      </c>
      <c r="E1013" s="72">
        <v>0</v>
      </c>
      <c r="F1013" s="72">
        <v>0.1</v>
      </c>
      <c r="G1013" s="72">
        <v>0.8</v>
      </c>
      <c r="H1013" s="87"/>
      <c r="I1013" s="87"/>
    </row>
    <row r="1014" spans="3:9" x14ac:dyDescent="0.2">
      <c r="C1014" s="72">
        <v>0</v>
      </c>
      <c r="D1014" s="72">
        <v>0.1</v>
      </c>
      <c r="E1014" s="72">
        <v>0</v>
      </c>
      <c r="F1014" s="72">
        <v>0</v>
      </c>
      <c r="G1014" s="72">
        <v>0.9</v>
      </c>
      <c r="H1014" s="87"/>
      <c r="I1014" s="87"/>
    </row>
    <row r="1015" spans="3:9" x14ac:dyDescent="0.2">
      <c r="C1015" s="72">
        <v>0</v>
      </c>
      <c r="D1015" s="72">
        <v>8.3333000000000004E-2</v>
      </c>
      <c r="E1015" s="72">
        <v>0.75</v>
      </c>
      <c r="F1015" s="72">
        <v>8.3333000000000004E-2</v>
      </c>
      <c r="G1015" s="72">
        <v>8.3333000000000004E-2</v>
      </c>
      <c r="H1015" s="87"/>
      <c r="I1015" s="87"/>
    </row>
    <row r="1016" spans="3:9" x14ac:dyDescent="0.2">
      <c r="C1016" s="72">
        <v>0</v>
      </c>
      <c r="D1016" s="72">
        <v>8.3333000000000004E-2</v>
      </c>
      <c r="E1016" s="72">
        <v>8.3333000000000004E-2</v>
      </c>
      <c r="F1016" s="72">
        <v>0.75</v>
      </c>
      <c r="G1016" s="72">
        <v>8.3333000000000004E-2</v>
      </c>
      <c r="H1016" s="87"/>
      <c r="I1016" s="87"/>
    </row>
    <row r="1017" spans="3:9" x14ac:dyDescent="0.2">
      <c r="C1017" s="72">
        <v>0</v>
      </c>
      <c r="D1017" s="72">
        <v>8.3333000000000004E-2</v>
      </c>
      <c r="E1017" s="72">
        <v>8.3333000000000004E-2</v>
      </c>
      <c r="F1017" s="72">
        <v>8.3333000000000004E-2</v>
      </c>
      <c r="G1017" s="72">
        <v>0.75</v>
      </c>
      <c r="H1017" s="87"/>
      <c r="I1017" s="87"/>
    </row>
    <row r="1018" spans="3:9" x14ac:dyDescent="0.2">
      <c r="C1018" s="72">
        <v>0</v>
      </c>
      <c r="D1018" s="72">
        <v>7.4999999999999997E-2</v>
      </c>
      <c r="E1018" s="72">
        <v>0.85</v>
      </c>
      <c r="F1018" s="72">
        <v>7.4999999999999997E-2</v>
      </c>
      <c r="G1018" s="72">
        <v>0</v>
      </c>
      <c r="H1018" s="87"/>
      <c r="I1018" s="87"/>
    </row>
    <row r="1019" spans="3:9" x14ac:dyDescent="0.2">
      <c r="C1019" s="72">
        <v>0</v>
      </c>
      <c r="D1019" s="72">
        <v>7.4999999999999997E-2</v>
      </c>
      <c r="E1019" s="72">
        <v>0.85</v>
      </c>
      <c r="F1019" s="72">
        <v>0</v>
      </c>
      <c r="G1019" s="72">
        <v>7.4999999999999997E-2</v>
      </c>
      <c r="H1019" s="87"/>
      <c r="I1019" s="87"/>
    </row>
    <row r="1020" spans="3:9" x14ac:dyDescent="0.2">
      <c r="C1020" s="72">
        <v>0</v>
      </c>
      <c r="D1020" s="72">
        <v>7.4999999999999997E-2</v>
      </c>
      <c r="E1020" s="72">
        <v>7.4999999999999997E-2</v>
      </c>
      <c r="F1020" s="72">
        <v>0.85</v>
      </c>
      <c r="G1020" s="72">
        <v>0</v>
      </c>
      <c r="H1020" s="87"/>
      <c r="I1020" s="87"/>
    </row>
    <row r="1021" spans="3:9" x14ac:dyDescent="0.2">
      <c r="C1021" s="72">
        <v>0</v>
      </c>
      <c r="D1021" s="72">
        <v>7.4999999999999997E-2</v>
      </c>
      <c r="E1021" s="72">
        <v>7.4999999999999997E-2</v>
      </c>
      <c r="F1021" s="72">
        <v>0</v>
      </c>
      <c r="G1021" s="72">
        <v>0.85</v>
      </c>
      <c r="H1021" s="87"/>
      <c r="I1021" s="87"/>
    </row>
    <row r="1022" spans="3:9" x14ac:dyDescent="0.2">
      <c r="C1022" s="72">
        <v>0</v>
      </c>
      <c r="D1022" s="72">
        <v>7.4999999999999997E-2</v>
      </c>
      <c r="E1022" s="72">
        <v>0</v>
      </c>
      <c r="F1022" s="72">
        <v>0.85</v>
      </c>
      <c r="G1022" s="72">
        <v>7.4999999999999997E-2</v>
      </c>
      <c r="H1022" s="87"/>
      <c r="I1022" s="87"/>
    </row>
    <row r="1023" spans="3:9" x14ac:dyDescent="0.2">
      <c r="C1023" s="72">
        <v>0</v>
      </c>
      <c r="D1023" s="72">
        <v>7.4999999999999997E-2</v>
      </c>
      <c r="E1023" s="72">
        <v>0</v>
      </c>
      <c r="F1023" s="72">
        <v>7.4999999999999997E-2</v>
      </c>
      <c r="G1023" s="72">
        <v>0.85</v>
      </c>
      <c r="H1023" s="87"/>
      <c r="I1023" s="87"/>
    </row>
    <row r="1024" spans="3:9" x14ac:dyDescent="0.2">
      <c r="C1024" s="72">
        <v>0</v>
      </c>
      <c r="D1024" s="72">
        <v>6.6667000000000004E-2</v>
      </c>
      <c r="E1024" s="72">
        <v>0.8</v>
      </c>
      <c r="F1024" s="72">
        <v>6.6667000000000004E-2</v>
      </c>
      <c r="G1024" s="72">
        <v>6.6667000000000004E-2</v>
      </c>
      <c r="H1024" s="87"/>
      <c r="I1024" s="87"/>
    </row>
    <row r="1025" spans="3:9" x14ac:dyDescent="0.2">
      <c r="C1025" s="72">
        <v>0</v>
      </c>
      <c r="D1025" s="72">
        <v>6.6667000000000004E-2</v>
      </c>
      <c r="E1025" s="72">
        <v>6.6667000000000004E-2</v>
      </c>
      <c r="F1025" s="72">
        <v>0.8</v>
      </c>
      <c r="G1025" s="72">
        <v>6.6667000000000004E-2</v>
      </c>
      <c r="H1025" s="87"/>
      <c r="I1025" s="87"/>
    </row>
    <row r="1026" spans="3:9" x14ac:dyDescent="0.2">
      <c r="C1026" s="72">
        <v>0</v>
      </c>
      <c r="D1026" s="72">
        <v>6.6667000000000004E-2</v>
      </c>
      <c r="E1026" s="72">
        <v>6.6667000000000004E-2</v>
      </c>
      <c r="F1026" s="72">
        <v>6.6667000000000004E-2</v>
      </c>
      <c r="G1026" s="72">
        <v>0.8</v>
      </c>
      <c r="H1026" s="87"/>
      <c r="I1026" s="87"/>
    </row>
    <row r="1027" spans="3:9" x14ac:dyDescent="0.2">
      <c r="C1027" s="72">
        <v>0</v>
      </c>
      <c r="D1027" s="72">
        <v>0.05</v>
      </c>
      <c r="E1027" s="72">
        <v>0.95</v>
      </c>
      <c r="F1027" s="72">
        <v>0</v>
      </c>
      <c r="G1027" s="72">
        <v>0</v>
      </c>
      <c r="H1027" s="87"/>
      <c r="I1027" s="87"/>
    </row>
    <row r="1028" spans="3:9" x14ac:dyDescent="0.2">
      <c r="C1028" s="72">
        <v>0</v>
      </c>
      <c r="D1028" s="72">
        <v>0.05</v>
      </c>
      <c r="E1028" s="72">
        <v>0.9</v>
      </c>
      <c r="F1028" s="72">
        <v>0.05</v>
      </c>
      <c r="G1028" s="72">
        <v>0</v>
      </c>
      <c r="H1028" s="87"/>
      <c r="I1028" s="87"/>
    </row>
    <row r="1029" spans="3:9" x14ac:dyDescent="0.2">
      <c r="C1029" s="72">
        <v>0</v>
      </c>
      <c r="D1029" s="72">
        <v>0.05</v>
      </c>
      <c r="E1029" s="72">
        <v>0.9</v>
      </c>
      <c r="F1029" s="72">
        <v>0</v>
      </c>
      <c r="G1029" s="72">
        <v>0.05</v>
      </c>
      <c r="H1029" s="87"/>
      <c r="I1029" s="87"/>
    </row>
    <row r="1030" spans="3:9" x14ac:dyDescent="0.2">
      <c r="C1030" s="72">
        <v>0</v>
      </c>
      <c r="D1030" s="72">
        <v>0.05</v>
      </c>
      <c r="E1030" s="72">
        <v>0.85</v>
      </c>
      <c r="F1030" s="72">
        <v>0.05</v>
      </c>
      <c r="G1030" s="72">
        <v>0.05</v>
      </c>
      <c r="H1030" s="87"/>
      <c r="I1030" s="87"/>
    </row>
    <row r="1031" spans="3:9" x14ac:dyDescent="0.2">
      <c r="C1031" s="72">
        <v>0</v>
      </c>
      <c r="D1031" s="72">
        <v>0.05</v>
      </c>
      <c r="E1031" s="72">
        <v>0.47499999999999998</v>
      </c>
      <c r="F1031" s="72">
        <v>0.47499999999999998</v>
      </c>
      <c r="G1031" s="72">
        <v>0</v>
      </c>
      <c r="H1031" s="87"/>
      <c r="I1031" s="87"/>
    </row>
    <row r="1032" spans="3:9" x14ac:dyDescent="0.2">
      <c r="C1032" s="72">
        <v>0</v>
      </c>
      <c r="D1032" s="72">
        <v>0.05</v>
      </c>
      <c r="E1032" s="72">
        <v>0.47499999999999998</v>
      </c>
      <c r="F1032" s="72">
        <v>0</v>
      </c>
      <c r="G1032" s="72">
        <v>0.47499999999999998</v>
      </c>
      <c r="H1032" s="87"/>
      <c r="I1032" s="87"/>
    </row>
    <row r="1033" spans="3:9" x14ac:dyDescent="0.2">
      <c r="C1033" s="72">
        <v>0</v>
      </c>
      <c r="D1033" s="72">
        <v>0.05</v>
      </c>
      <c r="E1033" s="72">
        <v>0.31666699999999998</v>
      </c>
      <c r="F1033" s="72">
        <v>0.31666699999999998</v>
      </c>
      <c r="G1033" s="72">
        <v>0.31666699999999998</v>
      </c>
      <c r="H1033" s="87"/>
      <c r="I1033" s="87"/>
    </row>
    <row r="1034" spans="3:9" x14ac:dyDescent="0.2">
      <c r="C1034" s="72">
        <v>0</v>
      </c>
      <c r="D1034" s="72">
        <v>0.05</v>
      </c>
      <c r="E1034" s="72">
        <v>0.05</v>
      </c>
      <c r="F1034" s="72">
        <v>0.9</v>
      </c>
      <c r="G1034" s="72">
        <v>0</v>
      </c>
      <c r="H1034" s="87"/>
      <c r="I1034" s="87"/>
    </row>
    <row r="1035" spans="3:9" x14ac:dyDescent="0.2">
      <c r="C1035" s="72">
        <v>0</v>
      </c>
      <c r="D1035" s="72">
        <v>0.05</v>
      </c>
      <c r="E1035" s="72">
        <v>0.05</v>
      </c>
      <c r="F1035" s="72">
        <v>0.85</v>
      </c>
      <c r="G1035" s="72">
        <v>0.05</v>
      </c>
      <c r="H1035" s="87"/>
      <c r="I1035" s="87"/>
    </row>
    <row r="1036" spans="3:9" x14ac:dyDescent="0.2">
      <c r="C1036" s="72">
        <v>0</v>
      </c>
      <c r="D1036" s="72">
        <v>0.05</v>
      </c>
      <c r="E1036" s="72">
        <v>0.05</v>
      </c>
      <c r="F1036" s="72">
        <v>0.05</v>
      </c>
      <c r="G1036" s="72">
        <v>0.85</v>
      </c>
      <c r="H1036" s="87"/>
      <c r="I1036" s="87"/>
    </row>
    <row r="1037" spans="3:9" x14ac:dyDescent="0.2">
      <c r="C1037" s="72">
        <v>0</v>
      </c>
      <c r="D1037" s="72">
        <v>0.05</v>
      </c>
      <c r="E1037" s="72">
        <v>0.05</v>
      </c>
      <c r="F1037" s="72">
        <v>0</v>
      </c>
      <c r="G1037" s="72">
        <v>0.9</v>
      </c>
      <c r="H1037" s="87"/>
      <c r="I1037" s="87"/>
    </row>
    <row r="1038" spans="3:9" x14ac:dyDescent="0.2">
      <c r="C1038" s="72">
        <v>0</v>
      </c>
      <c r="D1038" s="72">
        <v>0.05</v>
      </c>
      <c r="E1038" s="72">
        <v>0</v>
      </c>
      <c r="F1038" s="72">
        <v>0.95</v>
      </c>
      <c r="G1038" s="72">
        <v>0</v>
      </c>
      <c r="H1038" s="87"/>
      <c r="I1038" s="87"/>
    </row>
    <row r="1039" spans="3:9" x14ac:dyDescent="0.2">
      <c r="C1039" s="72">
        <v>0</v>
      </c>
      <c r="D1039" s="72">
        <v>0.05</v>
      </c>
      <c r="E1039" s="72">
        <v>0</v>
      </c>
      <c r="F1039" s="72">
        <v>0.9</v>
      </c>
      <c r="G1039" s="72">
        <v>0.05</v>
      </c>
      <c r="H1039" s="87"/>
      <c r="I1039" s="87"/>
    </row>
    <row r="1040" spans="3:9" x14ac:dyDescent="0.2">
      <c r="C1040" s="72">
        <v>0</v>
      </c>
      <c r="D1040" s="72">
        <v>0.05</v>
      </c>
      <c r="E1040" s="72">
        <v>0</v>
      </c>
      <c r="F1040" s="72">
        <v>0.47499999999999998</v>
      </c>
      <c r="G1040" s="72">
        <v>0.47499999999999998</v>
      </c>
      <c r="H1040" s="87"/>
      <c r="I1040" s="87"/>
    </row>
    <row r="1041" spans="3:9" x14ac:dyDescent="0.2">
      <c r="C1041" s="72">
        <v>0</v>
      </c>
      <c r="D1041" s="72">
        <v>0.05</v>
      </c>
      <c r="E1041" s="72">
        <v>0</v>
      </c>
      <c r="F1041" s="72">
        <v>0.05</v>
      </c>
      <c r="G1041" s="72">
        <v>0.9</v>
      </c>
      <c r="H1041" s="87"/>
      <c r="I1041" s="87"/>
    </row>
    <row r="1042" spans="3:9" x14ac:dyDescent="0.2">
      <c r="C1042" s="72">
        <v>0</v>
      </c>
      <c r="D1042" s="72">
        <v>0.05</v>
      </c>
      <c r="E1042" s="72">
        <v>0</v>
      </c>
      <c r="F1042" s="72">
        <v>0</v>
      </c>
      <c r="G1042" s="72">
        <v>0.95</v>
      </c>
      <c r="H1042" s="87"/>
      <c r="I1042" s="87"/>
    </row>
    <row r="1043" spans="3:9" x14ac:dyDescent="0.2">
      <c r="C1043" s="72">
        <v>0</v>
      </c>
      <c r="D1043" s="72">
        <v>3.3333000000000002E-2</v>
      </c>
      <c r="E1043" s="72">
        <v>0.9</v>
      </c>
      <c r="F1043" s="72">
        <v>3.3333000000000002E-2</v>
      </c>
      <c r="G1043" s="72">
        <v>3.3333000000000002E-2</v>
      </c>
      <c r="H1043" s="87"/>
      <c r="I1043" s="87"/>
    </row>
    <row r="1044" spans="3:9" x14ac:dyDescent="0.2">
      <c r="C1044" s="72">
        <v>0</v>
      </c>
      <c r="D1044" s="72">
        <v>3.3333000000000002E-2</v>
      </c>
      <c r="E1044" s="72">
        <v>3.3333000000000002E-2</v>
      </c>
      <c r="F1044" s="72">
        <v>0.9</v>
      </c>
      <c r="G1044" s="72">
        <v>3.3333000000000002E-2</v>
      </c>
      <c r="H1044" s="87"/>
      <c r="I1044" s="87"/>
    </row>
    <row r="1045" spans="3:9" x14ac:dyDescent="0.2">
      <c r="C1045" s="72">
        <v>0</v>
      </c>
      <c r="D1045" s="72">
        <v>3.3333000000000002E-2</v>
      </c>
      <c r="E1045" s="72">
        <v>3.3333000000000002E-2</v>
      </c>
      <c r="F1045" s="72">
        <v>3.3333000000000002E-2</v>
      </c>
      <c r="G1045" s="72">
        <v>0.9</v>
      </c>
      <c r="H1045" s="87"/>
      <c r="I1045" s="87"/>
    </row>
    <row r="1046" spans="3:9" x14ac:dyDescent="0.2">
      <c r="C1046" s="72">
        <v>0</v>
      </c>
      <c r="D1046" s="72">
        <v>2.5000000000000001E-2</v>
      </c>
      <c r="E1046" s="72">
        <v>0.95</v>
      </c>
      <c r="F1046" s="72">
        <v>2.5000000000000001E-2</v>
      </c>
      <c r="G1046" s="72">
        <v>0</v>
      </c>
      <c r="H1046" s="87"/>
      <c r="I1046" s="87"/>
    </row>
    <row r="1047" spans="3:9" x14ac:dyDescent="0.2">
      <c r="C1047" s="72">
        <v>0</v>
      </c>
      <c r="D1047" s="72">
        <v>2.5000000000000001E-2</v>
      </c>
      <c r="E1047" s="72">
        <v>0.95</v>
      </c>
      <c r="F1047" s="72">
        <v>0</v>
      </c>
      <c r="G1047" s="72">
        <v>2.5000000000000001E-2</v>
      </c>
      <c r="H1047" s="87"/>
      <c r="I1047" s="87"/>
    </row>
    <row r="1048" spans="3:9" x14ac:dyDescent="0.2">
      <c r="C1048" s="72">
        <v>0</v>
      </c>
      <c r="D1048" s="72">
        <v>2.5000000000000001E-2</v>
      </c>
      <c r="E1048" s="72">
        <v>2.5000000000000001E-2</v>
      </c>
      <c r="F1048" s="72">
        <v>0.95</v>
      </c>
      <c r="G1048" s="72">
        <v>0</v>
      </c>
      <c r="H1048" s="87"/>
      <c r="I1048" s="87"/>
    </row>
    <row r="1049" spans="3:9" x14ac:dyDescent="0.2">
      <c r="C1049" s="72">
        <v>0</v>
      </c>
      <c r="D1049" s="72">
        <v>2.5000000000000001E-2</v>
      </c>
      <c r="E1049" s="72">
        <v>2.5000000000000001E-2</v>
      </c>
      <c r="F1049" s="72">
        <v>0</v>
      </c>
      <c r="G1049" s="72">
        <v>0.95</v>
      </c>
      <c r="H1049" s="87"/>
      <c r="I1049" s="87"/>
    </row>
    <row r="1050" spans="3:9" x14ac:dyDescent="0.2">
      <c r="C1050" s="72">
        <v>0</v>
      </c>
      <c r="D1050" s="72">
        <v>2.5000000000000001E-2</v>
      </c>
      <c r="E1050" s="72">
        <v>0</v>
      </c>
      <c r="F1050" s="72">
        <v>0.95</v>
      </c>
      <c r="G1050" s="72">
        <v>2.5000000000000001E-2</v>
      </c>
      <c r="H1050" s="87"/>
      <c r="I1050" s="87"/>
    </row>
    <row r="1051" spans="3:9" x14ac:dyDescent="0.2">
      <c r="C1051" s="72">
        <v>0</v>
      </c>
      <c r="D1051" s="72">
        <v>2.5000000000000001E-2</v>
      </c>
      <c r="E1051" s="72">
        <v>0</v>
      </c>
      <c r="F1051" s="72">
        <v>2.5000000000000001E-2</v>
      </c>
      <c r="G1051" s="72">
        <v>0.95</v>
      </c>
      <c r="H1051" s="87"/>
      <c r="I1051" s="87"/>
    </row>
    <row r="1052" spans="3:9" x14ac:dyDescent="0.2">
      <c r="C1052" s="72">
        <v>0</v>
      </c>
      <c r="D1052" s="72">
        <v>1.6667000000000001E-2</v>
      </c>
      <c r="E1052" s="72">
        <v>0.95</v>
      </c>
      <c r="F1052" s="72">
        <v>1.6667000000000001E-2</v>
      </c>
      <c r="G1052" s="72">
        <v>1.6667000000000001E-2</v>
      </c>
      <c r="H1052" s="87"/>
      <c r="I1052" s="87"/>
    </row>
    <row r="1053" spans="3:9" x14ac:dyDescent="0.2">
      <c r="C1053" s="72">
        <v>0</v>
      </c>
      <c r="D1053" s="72">
        <v>1.6667000000000001E-2</v>
      </c>
      <c r="E1053" s="72">
        <v>1.6667000000000001E-2</v>
      </c>
      <c r="F1053" s="72">
        <v>0.95</v>
      </c>
      <c r="G1053" s="72">
        <v>1.6667000000000001E-2</v>
      </c>
      <c r="H1053" s="87"/>
      <c r="I1053" s="87"/>
    </row>
    <row r="1054" spans="3:9" x14ac:dyDescent="0.2">
      <c r="C1054" s="72">
        <v>0</v>
      </c>
      <c r="D1054" s="72">
        <v>1.6667000000000001E-2</v>
      </c>
      <c r="E1054" s="72">
        <v>1.6667000000000001E-2</v>
      </c>
      <c r="F1054" s="72">
        <v>1.6667000000000001E-2</v>
      </c>
      <c r="G1054" s="72">
        <v>0.95</v>
      </c>
      <c r="H1054" s="87"/>
      <c r="I1054" s="87"/>
    </row>
    <row r="1055" spans="3:9" x14ac:dyDescent="0.2">
      <c r="C1055" s="72">
        <v>0</v>
      </c>
      <c r="D1055" s="72">
        <v>0</v>
      </c>
      <c r="E1055" s="72">
        <v>1</v>
      </c>
      <c r="F1055" s="72">
        <v>0</v>
      </c>
      <c r="G1055" s="72">
        <v>0</v>
      </c>
      <c r="H1055" s="87"/>
      <c r="I1055" s="87"/>
    </row>
    <row r="1056" spans="3:9" x14ac:dyDescent="0.2">
      <c r="C1056" s="72">
        <v>0</v>
      </c>
      <c r="D1056" s="72">
        <v>0</v>
      </c>
      <c r="E1056" s="72">
        <v>0.95</v>
      </c>
      <c r="F1056" s="72">
        <v>0.05</v>
      </c>
      <c r="G1056" s="72">
        <v>0</v>
      </c>
      <c r="H1056" s="87"/>
      <c r="I1056" s="87"/>
    </row>
    <row r="1057" spans="3:9" x14ac:dyDescent="0.2">
      <c r="C1057" s="72">
        <v>0</v>
      </c>
      <c r="D1057" s="72">
        <v>0</v>
      </c>
      <c r="E1057" s="72">
        <v>0.95</v>
      </c>
      <c r="F1057" s="72">
        <v>2.5000000000000001E-2</v>
      </c>
      <c r="G1057" s="72">
        <v>2.5000000000000001E-2</v>
      </c>
      <c r="H1057" s="87"/>
      <c r="I1057" s="87"/>
    </row>
    <row r="1058" spans="3:9" x14ac:dyDescent="0.2">
      <c r="C1058" s="72">
        <v>0</v>
      </c>
      <c r="D1058" s="72">
        <v>0</v>
      </c>
      <c r="E1058" s="72">
        <v>0.95</v>
      </c>
      <c r="F1058" s="72">
        <v>0</v>
      </c>
      <c r="G1058" s="72">
        <v>0.05</v>
      </c>
      <c r="H1058" s="87"/>
      <c r="I1058" s="87"/>
    </row>
    <row r="1059" spans="3:9" x14ac:dyDescent="0.2">
      <c r="C1059" s="72">
        <v>0</v>
      </c>
      <c r="D1059" s="72">
        <v>0</v>
      </c>
      <c r="E1059" s="72">
        <v>0.9</v>
      </c>
      <c r="F1059" s="72">
        <v>0.1</v>
      </c>
      <c r="G1059" s="72">
        <v>0</v>
      </c>
      <c r="H1059" s="87"/>
      <c r="I1059" s="87"/>
    </row>
    <row r="1060" spans="3:9" x14ac:dyDescent="0.2">
      <c r="C1060" s="72">
        <v>0</v>
      </c>
      <c r="D1060" s="72">
        <v>0</v>
      </c>
      <c r="E1060" s="72">
        <v>0.9</v>
      </c>
      <c r="F1060" s="72">
        <v>0.05</v>
      </c>
      <c r="G1060" s="72">
        <v>0.05</v>
      </c>
      <c r="H1060" s="87"/>
      <c r="I1060" s="87"/>
    </row>
    <row r="1061" spans="3:9" x14ac:dyDescent="0.2">
      <c r="C1061" s="72">
        <v>0</v>
      </c>
      <c r="D1061" s="72">
        <v>0</v>
      </c>
      <c r="E1061" s="72">
        <v>0.9</v>
      </c>
      <c r="F1061" s="72">
        <v>0</v>
      </c>
      <c r="G1061" s="72">
        <v>0.1</v>
      </c>
      <c r="H1061" s="87"/>
      <c r="I1061" s="87"/>
    </row>
    <row r="1062" spans="3:9" x14ac:dyDescent="0.2">
      <c r="C1062" s="72">
        <v>0</v>
      </c>
      <c r="D1062" s="72">
        <v>0</v>
      </c>
      <c r="E1062" s="72">
        <v>0.85</v>
      </c>
      <c r="F1062" s="72">
        <v>0.15</v>
      </c>
      <c r="G1062" s="72">
        <v>0</v>
      </c>
      <c r="H1062" s="87"/>
      <c r="I1062" s="87"/>
    </row>
    <row r="1063" spans="3:9" x14ac:dyDescent="0.2">
      <c r="C1063" s="72">
        <v>0</v>
      </c>
      <c r="D1063" s="72">
        <v>0</v>
      </c>
      <c r="E1063" s="72">
        <v>0.85</v>
      </c>
      <c r="F1063" s="72">
        <v>7.4999999999999997E-2</v>
      </c>
      <c r="G1063" s="72">
        <v>7.4999999999999997E-2</v>
      </c>
      <c r="H1063" s="87"/>
      <c r="I1063" s="87"/>
    </row>
    <row r="1064" spans="3:9" x14ac:dyDescent="0.2">
      <c r="C1064" s="72">
        <v>0</v>
      </c>
      <c r="D1064" s="72">
        <v>0</v>
      </c>
      <c r="E1064" s="72">
        <v>0.85</v>
      </c>
      <c r="F1064" s="72">
        <v>0</v>
      </c>
      <c r="G1064" s="72">
        <v>0.15</v>
      </c>
      <c r="H1064" s="87"/>
      <c r="I1064" s="87"/>
    </row>
    <row r="1065" spans="3:9" x14ac:dyDescent="0.2">
      <c r="C1065" s="72">
        <v>0</v>
      </c>
      <c r="D1065" s="72">
        <v>0</v>
      </c>
      <c r="E1065" s="72">
        <v>0.8</v>
      </c>
      <c r="F1065" s="72">
        <v>0.2</v>
      </c>
      <c r="G1065" s="72">
        <v>0</v>
      </c>
      <c r="H1065" s="87"/>
      <c r="I1065" s="87"/>
    </row>
    <row r="1066" spans="3:9" x14ac:dyDescent="0.2">
      <c r="C1066" s="72">
        <v>0</v>
      </c>
      <c r="D1066" s="72">
        <v>0</v>
      </c>
      <c r="E1066" s="72">
        <v>0.8</v>
      </c>
      <c r="F1066" s="72">
        <v>0.1</v>
      </c>
      <c r="G1066" s="72">
        <v>0.1</v>
      </c>
      <c r="H1066" s="87"/>
      <c r="I1066" s="87"/>
    </row>
    <row r="1067" spans="3:9" x14ac:dyDescent="0.2">
      <c r="C1067" s="72">
        <v>0</v>
      </c>
      <c r="D1067" s="72">
        <v>0</v>
      </c>
      <c r="E1067" s="72">
        <v>0.8</v>
      </c>
      <c r="F1067" s="72">
        <v>0</v>
      </c>
      <c r="G1067" s="72">
        <v>0.2</v>
      </c>
      <c r="H1067" s="87"/>
      <c r="I1067" s="87"/>
    </row>
    <row r="1068" spans="3:9" x14ac:dyDescent="0.2">
      <c r="C1068" s="72">
        <v>0</v>
      </c>
      <c r="D1068" s="72">
        <v>0</v>
      </c>
      <c r="E1068" s="72">
        <v>0.75</v>
      </c>
      <c r="F1068" s="72">
        <v>0.25</v>
      </c>
      <c r="G1068" s="72">
        <v>0</v>
      </c>
      <c r="H1068" s="87"/>
      <c r="I1068" s="87"/>
    </row>
    <row r="1069" spans="3:9" x14ac:dyDescent="0.2">
      <c r="C1069" s="72">
        <v>0</v>
      </c>
      <c r="D1069" s="72">
        <v>0</v>
      </c>
      <c r="E1069" s="72">
        <v>0.75</v>
      </c>
      <c r="F1069" s="72">
        <v>0.125</v>
      </c>
      <c r="G1069" s="72">
        <v>0.125</v>
      </c>
      <c r="H1069" s="87"/>
      <c r="I1069" s="87"/>
    </row>
    <row r="1070" spans="3:9" x14ac:dyDescent="0.2">
      <c r="C1070" s="72">
        <v>0</v>
      </c>
      <c r="D1070" s="72">
        <v>0</v>
      </c>
      <c r="E1070" s="72">
        <v>0.75</v>
      </c>
      <c r="F1070" s="72">
        <v>0</v>
      </c>
      <c r="G1070" s="72">
        <v>0.25</v>
      </c>
      <c r="H1070" s="87"/>
      <c r="I1070" s="87"/>
    </row>
    <row r="1071" spans="3:9" x14ac:dyDescent="0.2">
      <c r="C1071" s="72">
        <v>0</v>
      </c>
      <c r="D1071" s="72">
        <v>0</v>
      </c>
      <c r="E1071" s="72">
        <v>0.7</v>
      </c>
      <c r="F1071" s="72">
        <v>0.3</v>
      </c>
      <c r="G1071" s="72">
        <v>0</v>
      </c>
      <c r="H1071" s="87"/>
      <c r="I1071" s="87"/>
    </row>
    <row r="1072" spans="3:9" x14ac:dyDescent="0.2">
      <c r="C1072" s="72">
        <v>0</v>
      </c>
      <c r="D1072" s="72">
        <v>0</v>
      </c>
      <c r="E1072" s="72">
        <v>0.7</v>
      </c>
      <c r="F1072" s="72">
        <v>0.15</v>
      </c>
      <c r="G1072" s="72">
        <v>0.15</v>
      </c>
      <c r="H1072" s="87"/>
      <c r="I1072" s="87"/>
    </row>
    <row r="1073" spans="3:9" x14ac:dyDescent="0.2">
      <c r="C1073" s="72">
        <v>0</v>
      </c>
      <c r="D1073" s="72">
        <v>0</v>
      </c>
      <c r="E1073" s="72">
        <v>0.7</v>
      </c>
      <c r="F1073" s="72">
        <v>0</v>
      </c>
      <c r="G1073" s="72">
        <v>0.3</v>
      </c>
      <c r="H1073" s="87"/>
      <c r="I1073" s="87"/>
    </row>
    <row r="1074" spans="3:9" x14ac:dyDescent="0.2">
      <c r="C1074" s="72">
        <v>0</v>
      </c>
      <c r="D1074" s="72">
        <v>0</v>
      </c>
      <c r="E1074" s="72">
        <v>0.65</v>
      </c>
      <c r="F1074" s="72">
        <v>0.35</v>
      </c>
      <c r="G1074" s="72">
        <v>0</v>
      </c>
      <c r="H1074" s="87"/>
      <c r="I1074" s="87"/>
    </row>
    <row r="1075" spans="3:9" x14ac:dyDescent="0.2">
      <c r="C1075" s="72">
        <v>0</v>
      </c>
      <c r="D1075" s="72">
        <v>0</v>
      </c>
      <c r="E1075" s="72">
        <v>0.65</v>
      </c>
      <c r="F1075" s="72">
        <v>0.17499999999999999</v>
      </c>
      <c r="G1075" s="72">
        <v>0.17499999999999999</v>
      </c>
      <c r="H1075" s="87"/>
      <c r="I1075" s="87"/>
    </row>
    <row r="1076" spans="3:9" x14ac:dyDescent="0.2">
      <c r="C1076" s="72">
        <v>0</v>
      </c>
      <c r="D1076" s="72">
        <v>0</v>
      </c>
      <c r="E1076" s="72">
        <v>0.65</v>
      </c>
      <c r="F1076" s="72">
        <v>0</v>
      </c>
      <c r="G1076" s="72">
        <v>0.35</v>
      </c>
      <c r="H1076" s="87"/>
      <c r="I1076" s="87"/>
    </row>
    <row r="1077" spans="3:9" x14ac:dyDescent="0.2">
      <c r="C1077" s="72">
        <v>0</v>
      </c>
      <c r="D1077" s="72">
        <v>0</v>
      </c>
      <c r="E1077" s="72">
        <v>0.6</v>
      </c>
      <c r="F1077" s="72">
        <v>0.4</v>
      </c>
      <c r="G1077" s="72">
        <v>0</v>
      </c>
      <c r="H1077" s="87"/>
      <c r="I1077" s="87"/>
    </row>
    <row r="1078" spans="3:9" x14ac:dyDescent="0.2">
      <c r="C1078" s="72">
        <v>0</v>
      </c>
      <c r="D1078" s="72">
        <v>0</v>
      </c>
      <c r="E1078" s="72">
        <v>0.6</v>
      </c>
      <c r="F1078" s="72">
        <v>0.2</v>
      </c>
      <c r="G1078" s="72">
        <v>0.2</v>
      </c>
      <c r="H1078" s="87"/>
      <c r="I1078" s="87"/>
    </row>
    <row r="1079" spans="3:9" x14ac:dyDescent="0.2">
      <c r="C1079" s="72">
        <v>0</v>
      </c>
      <c r="D1079" s="72">
        <v>0</v>
      </c>
      <c r="E1079" s="72">
        <v>0.6</v>
      </c>
      <c r="F1079" s="72">
        <v>0</v>
      </c>
      <c r="G1079" s="72">
        <v>0.4</v>
      </c>
      <c r="H1079" s="87"/>
      <c r="I1079" s="87"/>
    </row>
    <row r="1080" spans="3:9" x14ac:dyDescent="0.2">
      <c r="C1080" s="72">
        <v>0</v>
      </c>
      <c r="D1080" s="72">
        <v>0</v>
      </c>
      <c r="E1080" s="72">
        <v>0.55000000000000004</v>
      </c>
      <c r="F1080" s="72">
        <v>0.45</v>
      </c>
      <c r="G1080" s="72">
        <v>0</v>
      </c>
      <c r="H1080" s="87"/>
      <c r="I1080" s="87"/>
    </row>
    <row r="1081" spans="3:9" x14ac:dyDescent="0.2">
      <c r="C1081" s="72">
        <v>0</v>
      </c>
      <c r="D1081" s="72">
        <v>0</v>
      </c>
      <c r="E1081" s="72">
        <v>0.55000000000000004</v>
      </c>
      <c r="F1081" s="72">
        <v>0.22500000000000001</v>
      </c>
      <c r="G1081" s="72">
        <v>0.22500000000000001</v>
      </c>
      <c r="H1081" s="87"/>
      <c r="I1081" s="87"/>
    </row>
    <row r="1082" spans="3:9" x14ac:dyDescent="0.2">
      <c r="C1082" s="72">
        <v>0</v>
      </c>
      <c r="D1082" s="72">
        <v>0</v>
      </c>
      <c r="E1082" s="72">
        <v>0.55000000000000004</v>
      </c>
      <c r="F1082" s="72">
        <v>0</v>
      </c>
      <c r="G1082" s="72">
        <v>0.45</v>
      </c>
      <c r="H1082" s="87"/>
      <c r="I1082" s="87"/>
    </row>
    <row r="1083" spans="3:9" x14ac:dyDescent="0.2">
      <c r="C1083" s="72">
        <v>0</v>
      </c>
      <c r="D1083" s="72">
        <v>0</v>
      </c>
      <c r="E1083" s="72">
        <v>0.5</v>
      </c>
      <c r="F1083" s="72">
        <v>0.5</v>
      </c>
      <c r="G1083" s="72">
        <v>0</v>
      </c>
      <c r="H1083" s="87"/>
      <c r="I1083" s="87"/>
    </row>
    <row r="1084" spans="3:9" x14ac:dyDescent="0.2">
      <c r="C1084" s="72">
        <v>0</v>
      </c>
      <c r="D1084" s="72">
        <v>0</v>
      </c>
      <c r="E1084" s="72">
        <v>0.5</v>
      </c>
      <c r="F1084" s="72">
        <v>0.25</v>
      </c>
      <c r="G1084" s="72">
        <v>0.25</v>
      </c>
      <c r="H1084" s="87"/>
      <c r="I1084" s="87"/>
    </row>
    <row r="1085" spans="3:9" x14ac:dyDescent="0.2">
      <c r="C1085" s="72">
        <v>0</v>
      </c>
      <c r="D1085" s="72">
        <v>0</v>
      </c>
      <c r="E1085" s="72">
        <v>0.5</v>
      </c>
      <c r="F1085" s="72">
        <v>0</v>
      </c>
      <c r="G1085" s="72">
        <v>0.5</v>
      </c>
      <c r="H1085" s="87"/>
      <c r="I1085" s="87"/>
    </row>
    <row r="1086" spans="3:9" x14ac:dyDescent="0.2">
      <c r="C1086" s="72">
        <v>0</v>
      </c>
      <c r="D1086" s="72">
        <v>0</v>
      </c>
      <c r="E1086" s="72">
        <v>0.47499999999999998</v>
      </c>
      <c r="F1086" s="72">
        <v>0.47499999999999998</v>
      </c>
      <c r="G1086" s="72">
        <v>0.05</v>
      </c>
      <c r="H1086" s="87"/>
      <c r="I1086" s="87"/>
    </row>
    <row r="1087" spans="3:9" x14ac:dyDescent="0.2">
      <c r="C1087" s="72">
        <v>0</v>
      </c>
      <c r="D1087" s="72">
        <v>0</v>
      </c>
      <c r="E1087" s="72">
        <v>0.47499999999999998</v>
      </c>
      <c r="F1087" s="72">
        <v>0.05</v>
      </c>
      <c r="G1087" s="72">
        <v>0.47499999999999998</v>
      </c>
      <c r="H1087" s="87"/>
      <c r="I1087" s="87"/>
    </row>
    <row r="1088" spans="3:9" x14ac:dyDescent="0.2">
      <c r="C1088" s="72">
        <v>0</v>
      </c>
      <c r="D1088" s="72">
        <v>0</v>
      </c>
      <c r="E1088" s="72">
        <v>0.45</v>
      </c>
      <c r="F1088" s="72">
        <v>0.55000000000000004</v>
      </c>
      <c r="G1088" s="72">
        <v>0</v>
      </c>
      <c r="H1088" s="87"/>
      <c r="I1088" s="87"/>
    </row>
    <row r="1089" spans="3:9" x14ac:dyDescent="0.2">
      <c r="C1089" s="72">
        <v>0</v>
      </c>
      <c r="D1089" s="72">
        <v>0</v>
      </c>
      <c r="E1089" s="72">
        <v>0.45</v>
      </c>
      <c r="F1089" s="72">
        <v>0.45</v>
      </c>
      <c r="G1089" s="72">
        <v>0.1</v>
      </c>
      <c r="H1089" s="87"/>
      <c r="I1089" s="87"/>
    </row>
    <row r="1090" spans="3:9" x14ac:dyDescent="0.2">
      <c r="C1090" s="72">
        <v>0</v>
      </c>
      <c r="D1090" s="72">
        <v>0</v>
      </c>
      <c r="E1090" s="72">
        <v>0.45</v>
      </c>
      <c r="F1090" s="72">
        <v>0.27500000000000002</v>
      </c>
      <c r="G1090" s="72">
        <v>0.27500000000000002</v>
      </c>
      <c r="H1090" s="87"/>
      <c r="I1090" s="87"/>
    </row>
    <row r="1091" spans="3:9" x14ac:dyDescent="0.2">
      <c r="C1091" s="72">
        <v>0</v>
      </c>
      <c r="D1091" s="72">
        <v>0</v>
      </c>
      <c r="E1091" s="72">
        <v>0.45</v>
      </c>
      <c r="F1091" s="72">
        <v>0.1</v>
      </c>
      <c r="G1091" s="72">
        <v>0.45</v>
      </c>
      <c r="H1091" s="87"/>
      <c r="I1091" s="87"/>
    </row>
    <row r="1092" spans="3:9" x14ac:dyDescent="0.2">
      <c r="C1092" s="72">
        <v>0</v>
      </c>
      <c r="D1092" s="72">
        <v>0</v>
      </c>
      <c r="E1092" s="72">
        <v>0.45</v>
      </c>
      <c r="F1092" s="72">
        <v>0</v>
      </c>
      <c r="G1092" s="72">
        <v>0.55000000000000004</v>
      </c>
      <c r="H1092" s="87"/>
      <c r="I1092" s="87"/>
    </row>
    <row r="1093" spans="3:9" x14ac:dyDescent="0.2">
      <c r="C1093" s="72">
        <v>0</v>
      </c>
      <c r="D1093" s="72">
        <v>0</v>
      </c>
      <c r="E1093" s="72">
        <v>0.42499999999999999</v>
      </c>
      <c r="F1093" s="72">
        <v>0.42499999999999999</v>
      </c>
      <c r="G1093" s="72">
        <v>0.15</v>
      </c>
      <c r="H1093" s="87"/>
      <c r="I1093" s="87"/>
    </row>
    <row r="1094" spans="3:9" x14ac:dyDescent="0.2">
      <c r="C1094" s="72">
        <v>0</v>
      </c>
      <c r="D1094" s="72">
        <v>0</v>
      </c>
      <c r="E1094" s="72">
        <v>0.42499999999999999</v>
      </c>
      <c r="F1094" s="72">
        <v>0.15</v>
      </c>
      <c r="G1094" s="72">
        <v>0.42499999999999999</v>
      </c>
      <c r="H1094" s="87"/>
      <c r="I1094" s="87"/>
    </row>
    <row r="1095" spans="3:9" x14ac:dyDescent="0.2">
      <c r="C1095" s="72">
        <v>0</v>
      </c>
      <c r="D1095" s="72">
        <v>0</v>
      </c>
      <c r="E1095" s="72">
        <v>0.4</v>
      </c>
      <c r="F1095" s="72">
        <v>0.6</v>
      </c>
      <c r="G1095" s="72">
        <v>0</v>
      </c>
      <c r="H1095" s="87"/>
      <c r="I1095" s="87"/>
    </row>
    <row r="1096" spans="3:9" x14ac:dyDescent="0.2">
      <c r="C1096" s="72">
        <v>0</v>
      </c>
      <c r="D1096" s="72">
        <v>0</v>
      </c>
      <c r="E1096" s="72">
        <v>0.4</v>
      </c>
      <c r="F1096" s="72">
        <v>0.4</v>
      </c>
      <c r="G1096" s="72">
        <v>0.2</v>
      </c>
      <c r="H1096" s="87"/>
      <c r="I1096" s="87"/>
    </row>
    <row r="1097" spans="3:9" x14ac:dyDescent="0.2">
      <c r="C1097" s="72">
        <v>0</v>
      </c>
      <c r="D1097" s="72">
        <v>0</v>
      </c>
      <c r="E1097" s="72">
        <v>0.4</v>
      </c>
      <c r="F1097" s="72">
        <v>0.3</v>
      </c>
      <c r="G1097" s="72">
        <v>0.3</v>
      </c>
      <c r="H1097" s="87"/>
      <c r="I1097" s="87"/>
    </row>
    <row r="1098" spans="3:9" x14ac:dyDescent="0.2">
      <c r="C1098" s="72">
        <v>0</v>
      </c>
      <c r="D1098" s="72">
        <v>0</v>
      </c>
      <c r="E1098" s="72">
        <v>0.4</v>
      </c>
      <c r="F1098" s="72">
        <v>0.2</v>
      </c>
      <c r="G1098" s="72">
        <v>0.4</v>
      </c>
      <c r="H1098" s="87"/>
      <c r="I1098" s="87"/>
    </row>
    <row r="1099" spans="3:9" x14ac:dyDescent="0.2">
      <c r="C1099" s="72">
        <v>0</v>
      </c>
      <c r="D1099" s="72">
        <v>0</v>
      </c>
      <c r="E1099" s="72">
        <v>0.4</v>
      </c>
      <c r="F1099" s="72">
        <v>0</v>
      </c>
      <c r="G1099" s="72">
        <v>0.6</v>
      </c>
      <c r="H1099" s="87"/>
      <c r="I1099" s="87"/>
    </row>
    <row r="1100" spans="3:9" x14ac:dyDescent="0.2">
      <c r="C1100" s="72">
        <v>0</v>
      </c>
      <c r="D1100" s="72">
        <v>0</v>
      </c>
      <c r="E1100" s="72">
        <v>0.375</v>
      </c>
      <c r="F1100" s="72">
        <v>0.375</v>
      </c>
      <c r="G1100" s="72">
        <v>0.25</v>
      </c>
      <c r="H1100" s="87"/>
      <c r="I1100" s="87"/>
    </row>
    <row r="1101" spans="3:9" x14ac:dyDescent="0.2">
      <c r="C1101" s="72">
        <v>0</v>
      </c>
      <c r="D1101" s="72">
        <v>0</v>
      </c>
      <c r="E1101" s="72">
        <v>0.375</v>
      </c>
      <c r="F1101" s="72">
        <v>0.25</v>
      </c>
      <c r="G1101" s="72">
        <v>0.375</v>
      </c>
      <c r="H1101" s="87"/>
      <c r="I1101" s="87"/>
    </row>
    <row r="1102" spans="3:9" x14ac:dyDescent="0.2">
      <c r="C1102" s="72">
        <v>0</v>
      </c>
      <c r="D1102" s="72">
        <v>0</v>
      </c>
      <c r="E1102" s="72">
        <v>0.35</v>
      </c>
      <c r="F1102" s="72">
        <v>0.65</v>
      </c>
      <c r="G1102" s="72">
        <v>0</v>
      </c>
      <c r="H1102" s="87"/>
      <c r="I1102" s="87"/>
    </row>
    <row r="1103" spans="3:9" x14ac:dyDescent="0.2">
      <c r="C1103" s="72">
        <v>0</v>
      </c>
      <c r="D1103" s="72">
        <v>0</v>
      </c>
      <c r="E1103" s="72">
        <v>0.35</v>
      </c>
      <c r="F1103" s="72">
        <v>0.35</v>
      </c>
      <c r="G1103" s="72">
        <v>0.3</v>
      </c>
      <c r="H1103" s="87"/>
      <c r="I1103" s="87"/>
    </row>
    <row r="1104" spans="3:9" x14ac:dyDescent="0.2">
      <c r="C1104" s="72">
        <v>0</v>
      </c>
      <c r="D1104" s="72">
        <v>0</v>
      </c>
      <c r="E1104" s="72">
        <v>0.35</v>
      </c>
      <c r="F1104" s="72">
        <v>0.32500000000000001</v>
      </c>
      <c r="G1104" s="72">
        <v>0.32500000000000001</v>
      </c>
      <c r="H1104" s="87"/>
      <c r="I1104" s="87"/>
    </row>
    <row r="1105" spans="3:9" x14ac:dyDescent="0.2">
      <c r="C1105" s="72">
        <v>0</v>
      </c>
      <c r="D1105" s="72">
        <v>0</v>
      </c>
      <c r="E1105" s="72">
        <v>0.35</v>
      </c>
      <c r="F1105" s="72">
        <v>0.3</v>
      </c>
      <c r="G1105" s="72">
        <v>0.35</v>
      </c>
      <c r="H1105" s="87"/>
      <c r="I1105" s="87"/>
    </row>
    <row r="1106" spans="3:9" x14ac:dyDescent="0.2">
      <c r="C1106" s="72">
        <v>0</v>
      </c>
      <c r="D1106" s="72">
        <v>0</v>
      </c>
      <c r="E1106" s="72">
        <v>0.35</v>
      </c>
      <c r="F1106" s="72">
        <v>0</v>
      </c>
      <c r="G1106" s="72">
        <v>0.65</v>
      </c>
      <c r="H1106" s="87"/>
      <c r="I1106" s="87"/>
    </row>
    <row r="1107" spans="3:9" x14ac:dyDescent="0.2">
      <c r="C1107" s="72">
        <v>0</v>
      </c>
      <c r="D1107" s="72">
        <v>0</v>
      </c>
      <c r="E1107" s="72">
        <v>0.33333299999999999</v>
      </c>
      <c r="F1107" s="72">
        <v>0.33333299999999999</v>
      </c>
      <c r="G1107" s="72">
        <v>0.33333299999999999</v>
      </c>
      <c r="H1107" s="87"/>
      <c r="I1107" s="87"/>
    </row>
    <row r="1108" spans="3:9" x14ac:dyDescent="0.2">
      <c r="C1108" s="72">
        <v>0</v>
      </c>
      <c r="D1108" s="72">
        <v>0</v>
      </c>
      <c r="E1108" s="72">
        <v>0.32500000000000001</v>
      </c>
      <c r="F1108" s="72">
        <v>0.35</v>
      </c>
      <c r="G1108" s="72">
        <v>0.32500000000000001</v>
      </c>
      <c r="H1108" s="87"/>
      <c r="I1108" s="87"/>
    </row>
    <row r="1109" spans="3:9" x14ac:dyDescent="0.2">
      <c r="C1109" s="72">
        <v>0</v>
      </c>
      <c r="D1109" s="72">
        <v>0</v>
      </c>
      <c r="E1109" s="72">
        <v>0.32500000000000001</v>
      </c>
      <c r="F1109" s="72">
        <v>0.32500000000000001</v>
      </c>
      <c r="G1109" s="72">
        <v>0.35</v>
      </c>
      <c r="H1109" s="87"/>
      <c r="I1109" s="87"/>
    </row>
    <row r="1110" spans="3:9" x14ac:dyDescent="0.2">
      <c r="C1110" s="72">
        <v>0</v>
      </c>
      <c r="D1110" s="72">
        <v>0</v>
      </c>
      <c r="E1110" s="72">
        <v>0.3</v>
      </c>
      <c r="F1110" s="72">
        <v>0.7</v>
      </c>
      <c r="G1110" s="72">
        <v>0</v>
      </c>
      <c r="H1110" s="87"/>
      <c r="I1110" s="87"/>
    </row>
    <row r="1111" spans="3:9" x14ac:dyDescent="0.2">
      <c r="C1111" s="72">
        <v>0</v>
      </c>
      <c r="D1111" s="72">
        <v>0</v>
      </c>
      <c r="E1111" s="72">
        <v>0.3</v>
      </c>
      <c r="F1111" s="72">
        <v>0.4</v>
      </c>
      <c r="G1111" s="72">
        <v>0.3</v>
      </c>
      <c r="H1111" s="87"/>
      <c r="I1111" s="87"/>
    </row>
    <row r="1112" spans="3:9" x14ac:dyDescent="0.2">
      <c r="C1112" s="72">
        <v>0</v>
      </c>
      <c r="D1112" s="72">
        <v>0</v>
      </c>
      <c r="E1112" s="72">
        <v>0.3</v>
      </c>
      <c r="F1112" s="72">
        <v>0.35</v>
      </c>
      <c r="G1112" s="72">
        <v>0.35</v>
      </c>
      <c r="H1112" s="87"/>
      <c r="I1112" s="87"/>
    </row>
    <row r="1113" spans="3:9" x14ac:dyDescent="0.2">
      <c r="C1113" s="72">
        <v>0</v>
      </c>
      <c r="D1113" s="72">
        <v>0</v>
      </c>
      <c r="E1113" s="72">
        <v>0.3</v>
      </c>
      <c r="F1113" s="72">
        <v>0.3</v>
      </c>
      <c r="G1113" s="72">
        <v>0.4</v>
      </c>
      <c r="H1113" s="87"/>
      <c r="I1113" s="87"/>
    </row>
    <row r="1114" spans="3:9" x14ac:dyDescent="0.2">
      <c r="C1114" s="72">
        <v>0</v>
      </c>
      <c r="D1114" s="72">
        <v>0</v>
      </c>
      <c r="E1114" s="72">
        <v>0.3</v>
      </c>
      <c r="F1114" s="72">
        <v>0</v>
      </c>
      <c r="G1114" s="72">
        <v>0.7</v>
      </c>
      <c r="H1114" s="87"/>
      <c r="I1114" s="87"/>
    </row>
    <row r="1115" spans="3:9" x14ac:dyDescent="0.2">
      <c r="C1115" s="72">
        <v>0</v>
      </c>
      <c r="D1115" s="72">
        <v>0</v>
      </c>
      <c r="E1115" s="72">
        <v>0.27500000000000002</v>
      </c>
      <c r="F1115" s="72">
        <v>0.45</v>
      </c>
      <c r="G1115" s="72">
        <v>0.27500000000000002</v>
      </c>
      <c r="H1115" s="87"/>
      <c r="I1115" s="87"/>
    </row>
    <row r="1116" spans="3:9" x14ac:dyDescent="0.2">
      <c r="C1116" s="72">
        <v>0</v>
      </c>
      <c r="D1116" s="72">
        <v>0</v>
      </c>
      <c r="E1116" s="72">
        <v>0.27500000000000002</v>
      </c>
      <c r="F1116" s="72">
        <v>0.27500000000000002</v>
      </c>
      <c r="G1116" s="72">
        <v>0.45</v>
      </c>
      <c r="H1116" s="87"/>
      <c r="I1116" s="87"/>
    </row>
    <row r="1117" spans="3:9" x14ac:dyDescent="0.2">
      <c r="C1117" s="72">
        <v>0</v>
      </c>
      <c r="D1117" s="72">
        <v>0</v>
      </c>
      <c r="E1117" s="72">
        <v>0.25</v>
      </c>
      <c r="F1117" s="72">
        <v>0.75</v>
      </c>
      <c r="G1117" s="72">
        <v>0</v>
      </c>
      <c r="H1117" s="87"/>
      <c r="I1117" s="87"/>
    </row>
    <row r="1118" spans="3:9" x14ac:dyDescent="0.2">
      <c r="C1118" s="72">
        <v>0</v>
      </c>
      <c r="D1118" s="72">
        <v>0</v>
      </c>
      <c r="E1118" s="72">
        <v>0.25</v>
      </c>
      <c r="F1118" s="72">
        <v>0.5</v>
      </c>
      <c r="G1118" s="72">
        <v>0.25</v>
      </c>
      <c r="H1118" s="87"/>
      <c r="I1118" s="87"/>
    </row>
    <row r="1119" spans="3:9" x14ac:dyDescent="0.2">
      <c r="C1119" s="72">
        <v>0</v>
      </c>
      <c r="D1119" s="72">
        <v>0</v>
      </c>
      <c r="E1119" s="72">
        <v>0.25</v>
      </c>
      <c r="F1119" s="72">
        <v>0.375</v>
      </c>
      <c r="G1119" s="72">
        <v>0.375</v>
      </c>
      <c r="H1119" s="87"/>
      <c r="I1119" s="87"/>
    </row>
    <row r="1120" spans="3:9" x14ac:dyDescent="0.2">
      <c r="C1120" s="72">
        <v>0</v>
      </c>
      <c r="D1120" s="72">
        <v>0</v>
      </c>
      <c r="E1120" s="72">
        <v>0.25</v>
      </c>
      <c r="F1120" s="72">
        <v>0.25</v>
      </c>
      <c r="G1120" s="72">
        <v>0.5</v>
      </c>
      <c r="H1120" s="87"/>
      <c r="I1120" s="87"/>
    </row>
    <row r="1121" spans="3:9" x14ac:dyDescent="0.2">
      <c r="C1121" s="72">
        <v>0</v>
      </c>
      <c r="D1121" s="72">
        <v>0</v>
      </c>
      <c r="E1121" s="72">
        <v>0.25</v>
      </c>
      <c r="F1121" s="72">
        <v>0</v>
      </c>
      <c r="G1121" s="72">
        <v>0.75</v>
      </c>
      <c r="H1121" s="87"/>
      <c r="I1121" s="87"/>
    </row>
    <row r="1122" spans="3:9" x14ac:dyDescent="0.2">
      <c r="C1122" s="72">
        <v>0</v>
      </c>
      <c r="D1122" s="72">
        <v>0</v>
      </c>
      <c r="E1122" s="72">
        <v>0.22500000000000001</v>
      </c>
      <c r="F1122" s="72">
        <v>0.55000000000000004</v>
      </c>
      <c r="G1122" s="72">
        <v>0.22500000000000001</v>
      </c>
      <c r="H1122" s="87"/>
      <c r="I1122" s="87"/>
    </row>
    <row r="1123" spans="3:9" x14ac:dyDescent="0.2">
      <c r="C1123" s="72">
        <v>0</v>
      </c>
      <c r="D1123" s="72">
        <v>0</v>
      </c>
      <c r="E1123" s="72">
        <v>0.22500000000000001</v>
      </c>
      <c r="F1123" s="72">
        <v>0.22500000000000001</v>
      </c>
      <c r="G1123" s="72">
        <v>0.55000000000000004</v>
      </c>
      <c r="H1123" s="87"/>
      <c r="I1123" s="87"/>
    </row>
    <row r="1124" spans="3:9" x14ac:dyDescent="0.2">
      <c r="C1124" s="72">
        <v>0</v>
      </c>
      <c r="D1124" s="72">
        <v>0</v>
      </c>
      <c r="E1124" s="72">
        <v>0.2</v>
      </c>
      <c r="F1124" s="72">
        <v>0.8</v>
      </c>
      <c r="G1124" s="72">
        <v>0</v>
      </c>
      <c r="H1124" s="87"/>
      <c r="I1124" s="87"/>
    </row>
    <row r="1125" spans="3:9" x14ac:dyDescent="0.2">
      <c r="C1125" s="72">
        <v>0</v>
      </c>
      <c r="D1125" s="72">
        <v>0</v>
      </c>
      <c r="E1125" s="72">
        <v>0.2</v>
      </c>
      <c r="F1125" s="72">
        <v>0.6</v>
      </c>
      <c r="G1125" s="72">
        <v>0.2</v>
      </c>
      <c r="H1125" s="87"/>
      <c r="I1125" s="87"/>
    </row>
    <row r="1126" spans="3:9" x14ac:dyDescent="0.2">
      <c r="C1126" s="72">
        <v>0</v>
      </c>
      <c r="D1126" s="72">
        <v>0</v>
      </c>
      <c r="E1126" s="72">
        <v>0.2</v>
      </c>
      <c r="F1126" s="72">
        <v>0.4</v>
      </c>
      <c r="G1126" s="72">
        <v>0.4</v>
      </c>
      <c r="H1126" s="87"/>
      <c r="I1126" s="87"/>
    </row>
    <row r="1127" spans="3:9" x14ac:dyDescent="0.2">
      <c r="C1127" s="72">
        <v>0</v>
      </c>
      <c r="D1127" s="72">
        <v>0</v>
      </c>
      <c r="E1127" s="72">
        <v>0.2</v>
      </c>
      <c r="F1127" s="72">
        <v>0.2</v>
      </c>
      <c r="G1127" s="72">
        <v>0.6</v>
      </c>
      <c r="H1127" s="87"/>
      <c r="I1127" s="87"/>
    </row>
    <row r="1128" spans="3:9" x14ac:dyDescent="0.2">
      <c r="C1128" s="72">
        <v>0</v>
      </c>
      <c r="D1128" s="72">
        <v>0</v>
      </c>
      <c r="E1128" s="72">
        <v>0.2</v>
      </c>
      <c r="F1128" s="72">
        <v>0</v>
      </c>
      <c r="G1128" s="72">
        <v>0.8</v>
      </c>
      <c r="H1128" s="87"/>
      <c r="I1128" s="87"/>
    </row>
    <row r="1129" spans="3:9" x14ac:dyDescent="0.2">
      <c r="C1129" s="72">
        <v>0</v>
      </c>
      <c r="D1129" s="72">
        <v>0</v>
      </c>
      <c r="E1129" s="72">
        <v>0.17499999999999999</v>
      </c>
      <c r="F1129" s="72">
        <v>0.65</v>
      </c>
      <c r="G1129" s="72">
        <v>0.17499999999999999</v>
      </c>
      <c r="H1129" s="87"/>
      <c r="I1129" s="87"/>
    </row>
    <row r="1130" spans="3:9" x14ac:dyDescent="0.2">
      <c r="C1130" s="72">
        <v>0</v>
      </c>
      <c r="D1130" s="72">
        <v>0</v>
      </c>
      <c r="E1130" s="72">
        <v>0.17499999999999999</v>
      </c>
      <c r="F1130" s="72">
        <v>0.17499999999999999</v>
      </c>
      <c r="G1130" s="72">
        <v>0.65</v>
      </c>
      <c r="H1130" s="87"/>
      <c r="I1130" s="87"/>
    </row>
    <row r="1131" spans="3:9" x14ac:dyDescent="0.2">
      <c r="C1131" s="72">
        <v>0</v>
      </c>
      <c r="D1131" s="72">
        <v>0</v>
      </c>
      <c r="E1131" s="72">
        <v>0.15</v>
      </c>
      <c r="F1131" s="72">
        <v>0.85</v>
      </c>
      <c r="G1131" s="72">
        <v>0</v>
      </c>
      <c r="H1131" s="87"/>
      <c r="I1131" s="87"/>
    </row>
    <row r="1132" spans="3:9" x14ac:dyDescent="0.2">
      <c r="C1132" s="72">
        <v>0</v>
      </c>
      <c r="D1132" s="72">
        <v>0</v>
      </c>
      <c r="E1132" s="72">
        <v>0.15</v>
      </c>
      <c r="F1132" s="72">
        <v>0.7</v>
      </c>
      <c r="G1132" s="72">
        <v>0.15</v>
      </c>
      <c r="H1132" s="87"/>
      <c r="I1132" s="87"/>
    </row>
    <row r="1133" spans="3:9" x14ac:dyDescent="0.2">
      <c r="C1133" s="72">
        <v>0</v>
      </c>
      <c r="D1133" s="72">
        <v>0</v>
      </c>
      <c r="E1133" s="72">
        <v>0.15</v>
      </c>
      <c r="F1133" s="72">
        <v>0.42499999999999999</v>
      </c>
      <c r="G1133" s="72">
        <v>0.42499999999999999</v>
      </c>
      <c r="H1133" s="87"/>
      <c r="I1133" s="87"/>
    </row>
    <row r="1134" spans="3:9" x14ac:dyDescent="0.2">
      <c r="C1134" s="72">
        <v>0</v>
      </c>
      <c r="D1134" s="72">
        <v>0</v>
      </c>
      <c r="E1134" s="72">
        <v>0.15</v>
      </c>
      <c r="F1134" s="72">
        <v>0.15</v>
      </c>
      <c r="G1134" s="72">
        <v>0.7</v>
      </c>
      <c r="H1134" s="87"/>
      <c r="I1134" s="87"/>
    </row>
    <row r="1135" spans="3:9" x14ac:dyDescent="0.2">
      <c r="C1135" s="72">
        <v>0</v>
      </c>
      <c r="D1135" s="72">
        <v>0</v>
      </c>
      <c r="E1135" s="72">
        <v>0.15</v>
      </c>
      <c r="F1135" s="72">
        <v>0</v>
      </c>
      <c r="G1135" s="72">
        <v>0.85</v>
      </c>
      <c r="H1135" s="87"/>
      <c r="I1135" s="87"/>
    </row>
    <row r="1136" spans="3:9" x14ac:dyDescent="0.2">
      <c r="C1136" s="72">
        <v>0</v>
      </c>
      <c r="D1136" s="72">
        <v>0</v>
      </c>
      <c r="E1136" s="72">
        <v>0.125</v>
      </c>
      <c r="F1136" s="72">
        <v>0.75</v>
      </c>
      <c r="G1136" s="72">
        <v>0.125</v>
      </c>
      <c r="H1136" s="87"/>
      <c r="I1136" s="87"/>
    </row>
    <row r="1137" spans="3:9" x14ac:dyDescent="0.2">
      <c r="C1137" s="72">
        <v>0</v>
      </c>
      <c r="D1137" s="72">
        <v>0</v>
      </c>
      <c r="E1137" s="72">
        <v>0.125</v>
      </c>
      <c r="F1137" s="72">
        <v>0.125</v>
      </c>
      <c r="G1137" s="72">
        <v>0.75</v>
      </c>
      <c r="H1137" s="87"/>
      <c r="I1137" s="87"/>
    </row>
    <row r="1138" spans="3:9" x14ac:dyDescent="0.2">
      <c r="C1138" s="72">
        <v>0</v>
      </c>
      <c r="D1138" s="72">
        <v>0</v>
      </c>
      <c r="E1138" s="72">
        <v>0.1</v>
      </c>
      <c r="F1138" s="72">
        <v>0.9</v>
      </c>
      <c r="G1138" s="72">
        <v>0</v>
      </c>
      <c r="H1138" s="87"/>
      <c r="I1138" s="87"/>
    </row>
    <row r="1139" spans="3:9" x14ac:dyDescent="0.2">
      <c r="C1139" s="72">
        <v>0</v>
      </c>
      <c r="D1139" s="72">
        <v>0</v>
      </c>
      <c r="E1139" s="72">
        <v>0.1</v>
      </c>
      <c r="F1139" s="72">
        <v>0.8</v>
      </c>
      <c r="G1139" s="72">
        <v>0.1</v>
      </c>
      <c r="H1139" s="87"/>
      <c r="I1139" s="87"/>
    </row>
    <row r="1140" spans="3:9" x14ac:dyDescent="0.2">
      <c r="C1140" s="72">
        <v>0</v>
      </c>
      <c r="D1140" s="72">
        <v>0</v>
      </c>
      <c r="E1140" s="72">
        <v>0.1</v>
      </c>
      <c r="F1140" s="72">
        <v>0.45</v>
      </c>
      <c r="G1140" s="72">
        <v>0.45</v>
      </c>
      <c r="H1140" s="87"/>
      <c r="I1140" s="87"/>
    </row>
    <row r="1141" spans="3:9" x14ac:dyDescent="0.2">
      <c r="C1141" s="72">
        <v>0</v>
      </c>
      <c r="D1141" s="72">
        <v>0</v>
      </c>
      <c r="E1141" s="72">
        <v>0.1</v>
      </c>
      <c r="F1141" s="72">
        <v>0.1</v>
      </c>
      <c r="G1141" s="72">
        <v>0.8</v>
      </c>
      <c r="H1141" s="87"/>
      <c r="I1141" s="87"/>
    </row>
    <row r="1142" spans="3:9" x14ac:dyDescent="0.2">
      <c r="C1142" s="72">
        <v>0</v>
      </c>
      <c r="D1142" s="72">
        <v>0</v>
      </c>
      <c r="E1142" s="72">
        <v>0.1</v>
      </c>
      <c r="F1142" s="72">
        <v>0</v>
      </c>
      <c r="G1142" s="72">
        <v>0.9</v>
      </c>
      <c r="H1142" s="87"/>
      <c r="I1142" s="87"/>
    </row>
    <row r="1143" spans="3:9" x14ac:dyDescent="0.2">
      <c r="C1143" s="72">
        <v>0</v>
      </c>
      <c r="D1143" s="72">
        <v>0</v>
      </c>
      <c r="E1143" s="72">
        <v>7.4999999999999997E-2</v>
      </c>
      <c r="F1143" s="72">
        <v>0.85</v>
      </c>
      <c r="G1143" s="72">
        <v>7.4999999999999997E-2</v>
      </c>
      <c r="H1143" s="87"/>
      <c r="I1143" s="87"/>
    </row>
    <row r="1144" spans="3:9" x14ac:dyDescent="0.2">
      <c r="C1144" s="72">
        <v>0</v>
      </c>
      <c r="D1144" s="72">
        <v>0</v>
      </c>
      <c r="E1144" s="72">
        <v>7.4999999999999997E-2</v>
      </c>
      <c r="F1144" s="72">
        <v>7.4999999999999997E-2</v>
      </c>
      <c r="G1144" s="72">
        <v>0.85</v>
      </c>
      <c r="H1144" s="87"/>
      <c r="I1144" s="87"/>
    </row>
    <row r="1145" spans="3:9" x14ac:dyDescent="0.2">
      <c r="C1145" s="72">
        <v>0</v>
      </c>
      <c r="D1145" s="72">
        <v>0</v>
      </c>
      <c r="E1145" s="72">
        <v>0.05</v>
      </c>
      <c r="F1145" s="72">
        <v>0.95</v>
      </c>
      <c r="G1145" s="72">
        <v>0</v>
      </c>
      <c r="H1145" s="87"/>
      <c r="I1145" s="87"/>
    </row>
    <row r="1146" spans="3:9" x14ac:dyDescent="0.2">
      <c r="C1146" s="72">
        <v>0</v>
      </c>
      <c r="D1146" s="72">
        <v>0</v>
      </c>
      <c r="E1146" s="72">
        <v>0.05</v>
      </c>
      <c r="F1146" s="72">
        <v>0.9</v>
      </c>
      <c r="G1146" s="72">
        <v>0.05</v>
      </c>
      <c r="H1146" s="87"/>
      <c r="I1146" s="87"/>
    </row>
    <row r="1147" spans="3:9" x14ac:dyDescent="0.2">
      <c r="C1147" s="72">
        <v>0</v>
      </c>
      <c r="D1147" s="72">
        <v>0</v>
      </c>
      <c r="E1147" s="72">
        <v>0.05</v>
      </c>
      <c r="F1147" s="72">
        <v>0.47499999999999998</v>
      </c>
      <c r="G1147" s="72">
        <v>0.47499999999999998</v>
      </c>
      <c r="H1147" s="87"/>
      <c r="I1147" s="87"/>
    </row>
    <row r="1148" spans="3:9" x14ac:dyDescent="0.2">
      <c r="C1148" s="72">
        <v>0</v>
      </c>
      <c r="D1148" s="72">
        <v>0</v>
      </c>
      <c r="E1148" s="72">
        <v>0.05</v>
      </c>
      <c r="F1148" s="72">
        <v>0.05</v>
      </c>
      <c r="G1148" s="72">
        <v>0.9</v>
      </c>
      <c r="H1148" s="87"/>
      <c r="I1148" s="87"/>
    </row>
    <row r="1149" spans="3:9" x14ac:dyDescent="0.2">
      <c r="C1149" s="72">
        <v>0</v>
      </c>
      <c r="D1149" s="72">
        <v>0</v>
      </c>
      <c r="E1149" s="72">
        <v>0.05</v>
      </c>
      <c r="F1149" s="72">
        <v>0</v>
      </c>
      <c r="G1149" s="72">
        <v>0.95</v>
      </c>
      <c r="H1149" s="87"/>
      <c r="I1149" s="87"/>
    </row>
    <row r="1150" spans="3:9" x14ac:dyDescent="0.2">
      <c r="C1150" s="72">
        <v>0</v>
      </c>
      <c r="D1150" s="72">
        <v>0</v>
      </c>
      <c r="E1150" s="72">
        <v>2.5000000000000001E-2</v>
      </c>
      <c r="F1150" s="72">
        <v>0.95</v>
      </c>
      <c r="G1150" s="72">
        <v>2.5000000000000001E-2</v>
      </c>
      <c r="H1150" s="87"/>
      <c r="I1150" s="87"/>
    </row>
    <row r="1151" spans="3:9" x14ac:dyDescent="0.2">
      <c r="C1151" s="72">
        <v>0</v>
      </c>
      <c r="D1151" s="72">
        <v>0</v>
      </c>
      <c r="E1151" s="72">
        <v>2.5000000000000001E-2</v>
      </c>
      <c r="F1151" s="72">
        <v>2.5000000000000001E-2</v>
      </c>
      <c r="G1151" s="72">
        <v>0.95</v>
      </c>
      <c r="H1151" s="87"/>
      <c r="I1151" s="87"/>
    </row>
    <row r="1152" spans="3:9" x14ac:dyDescent="0.2">
      <c r="C1152" s="72">
        <v>0</v>
      </c>
      <c r="D1152" s="72">
        <v>0</v>
      </c>
      <c r="E1152" s="72">
        <v>0</v>
      </c>
      <c r="F1152" s="72">
        <v>1</v>
      </c>
      <c r="G1152" s="72">
        <v>0</v>
      </c>
      <c r="H1152" s="87"/>
      <c r="I1152" s="87"/>
    </row>
    <row r="1153" spans="3:9" x14ac:dyDescent="0.2">
      <c r="C1153" s="72">
        <v>0</v>
      </c>
      <c r="D1153" s="72">
        <v>0</v>
      </c>
      <c r="E1153" s="72">
        <v>0</v>
      </c>
      <c r="F1153" s="72">
        <v>0.95</v>
      </c>
      <c r="G1153" s="72">
        <v>0.05</v>
      </c>
      <c r="H1153" s="87"/>
      <c r="I1153" s="87"/>
    </row>
    <row r="1154" spans="3:9" x14ac:dyDescent="0.2">
      <c r="C1154" s="72">
        <v>0</v>
      </c>
      <c r="D1154" s="72">
        <v>0</v>
      </c>
      <c r="E1154" s="72">
        <v>0</v>
      </c>
      <c r="F1154" s="72">
        <v>0.9</v>
      </c>
      <c r="G1154" s="72">
        <v>0.1</v>
      </c>
      <c r="H1154" s="87"/>
      <c r="I1154" s="87"/>
    </row>
    <row r="1155" spans="3:9" x14ac:dyDescent="0.2">
      <c r="C1155" s="72">
        <v>0</v>
      </c>
      <c r="D1155" s="72">
        <v>0</v>
      </c>
      <c r="E1155" s="72">
        <v>0</v>
      </c>
      <c r="F1155" s="72">
        <v>0.85</v>
      </c>
      <c r="G1155" s="72">
        <v>0.15</v>
      </c>
      <c r="H1155" s="87"/>
      <c r="I1155" s="87"/>
    </row>
    <row r="1156" spans="3:9" x14ac:dyDescent="0.2">
      <c r="C1156" s="72">
        <v>0</v>
      </c>
      <c r="D1156" s="72">
        <v>0</v>
      </c>
      <c r="E1156" s="72">
        <v>0</v>
      </c>
      <c r="F1156" s="72">
        <v>0.8</v>
      </c>
      <c r="G1156" s="72">
        <v>0.2</v>
      </c>
      <c r="H1156" s="87"/>
      <c r="I1156" s="87"/>
    </row>
    <row r="1157" spans="3:9" x14ac:dyDescent="0.2">
      <c r="C1157" s="72">
        <v>0</v>
      </c>
      <c r="D1157" s="72">
        <v>0</v>
      </c>
      <c r="E1157" s="72">
        <v>0</v>
      </c>
      <c r="F1157" s="72">
        <v>0.75</v>
      </c>
      <c r="G1157" s="72">
        <v>0.25</v>
      </c>
      <c r="H1157" s="87"/>
      <c r="I1157" s="87"/>
    </row>
    <row r="1158" spans="3:9" x14ac:dyDescent="0.2">
      <c r="C1158" s="72">
        <v>0</v>
      </c>
      <c r="D1158" s="72">
        <v>0</v>
      </c>
      <c r="E1158" s="72">
        <v>0</v>
      </c>
      <c r="F1158" s="72">
        <v>0.7</v>
      </c>
      <c r="G1158" s="72">
        <v>0.3</v>
      </c>
      <c r="H1158" s="87"/>
      <c r="I1158" s="87"/>
    </row>
    <row r="1159" spans="3:9" x14ac:dyDescent="0.2">
      <c r="C1159" s="72">
        <v>0</v>
      </c>
      <c r="D1159" s="72">
        <v>0</v>
      </c>
      <c r="E1159" s="72">
        <v>0</v>
      </c>
      <c r="F1159" s="72">
        <v>0.65</v>
      </c>
      <c r="G1159" s="72">
        <v>0.35</v>
      </c>
      <c r="H1159" s="87"/>
      <c r="I1159" s="87"/>
    </row>
    <row r="1160" spans="3:9" x14ac:dyDescent="0.2">
      <c r="C1160" s="72">
        <v>0</v>
      </c>
      <c r="D1160" s="72">
        <v>0</v>
      </c>
      <c r="E1160" s="72">
        <v>0</v>
      </c>
      <c r="F1160" s="72">
        <v>0.6</v>
      </c>
      <c r="G1160" s="72">
        <v>0.4</v>
      </c>
      <c r="H1160" s="87"/>
      <c r="I1160" s="87"/>
    </row>
    <row r="1161" spans="3:9" x14ac:dyDescent="0.2">
      <c r="C1161" s="72">
        <v>0</v>
      </c>
      <c r="D1161" s="72">
        <v>0</v>
      </c>
      <c r="E1161" s="72">
        <v>0</v>
      </c>
      <c r="F1161" s="72">
        <v>0.55000000000000004</v>
      </c>
      <c r="G1161" s="72">
        <v>0.45</v>
      </c>
      <c r="H1161" s="87"/>
      <c r="I1161" s="87"/>
    </row>
    <row r="1162" spans="3:9" x14ac:dyDescent="0.2">
      <c r="C1162" s="72">
        <v>0</v>
      </c>
      <c r="D1162" s="72">
        <v>0</v>
      </c>
      <c r="E1162" s="72">
        <v>0</v>
      </c>
      <c r="F1162" s="72">
        <v>0.5</v>
      </c>
      <c r="G1162" s="72">
        <v>0.5</v>
      </c>
      <c r="H1162" s="87"/>
      <c r="I1162" s="87"/>
    </row>
    <row r="1163" spans="3:9" x14ac:dyDescent="0.2">
      <c r="C1163" s="72">
        <v>0</v>
      </c>
      <c r="D1163" s="72">
        <v>0</v>
      </c>
      <c r="E1163" s="72">
        <v>0</v>
      </c>
      <c r="F1163" s="72">
        <v>0.45</v>
      </c>
      <c r="G1163" s="72">
        <v>0.55000000000000004</v>
      </c>
      <c r="H1163" s="87"/>
      <c r="I1163" s="87"/>
    </row>
    <row r="1164" spans="3:9" x14ac:dyDescent="0.2">
      <c r="C1164" s="72">
        <v>0</v>
      </c>
      <c r="D1164" s="72">
        <v>0</v>
      </c>
      <c r="E1164" s="72">
        <v>0</v>
      </c>
      <c r="F1164" s="72">
        <v>0.4</v>
      </c>
      <c r="G1164" s="72">
        <v>0.6</v>
      </c>
      <c r="H1164" s="87"/>
      <c r="I1164" s="87"/>
    </row>
    <row r="1165" spans="3:9" x14ac:dyDescent="0.2">
      <c r="C1165" s="72">
        <v>0</v>
      </c>
      <c r="D1165" s="72">
        <v>0</v>
      </c>
      <c r="E1165" s="72">
        <v>0</v>
      </c>
      <c r="F1165" s="72">
        <v>0.35</v>
      </c>
      <c r="G1165" s="72">
        <v>0.65</v>
      </c>
      <c r="H1165" s="87"/>
      <c r="I1165" s="87"/>
    </row>
    <row r="1166" spans="3:9" x14ac:dyDescent="0.2">
      <c r="C1166" s="72">
        <v>0</v>
      </c>
      <c r="D1166" s="72">
        <v>0</v>
      </c>
      <c r="E1166" s="72">
        <v>0</v>
      </c>
      <c r="F1166" s="72">
        <v>0.3</v>
      </c>
      <c r="G1166" s="72">
        <v>0.7</v>
      </c>
      <c r="H1166" s="87"/>
      <c r="I1166" s="87"/>
    </row>
    <row r="1167" spans="3:9" x14ac:dyDescent="0.2">
      <c r="C1167" s="72">
        <v>0</v>
      </c>
      <c r="D1167" s="72">
        <v>0</v>
      </c>
      <c r="E1167" s="72">
        <v>0</v>
      </c>
      <c r="F1167" s="72">
        <v>0.25</v>
      </c>
      <c r="G1167" s="72">
        <v>0.75</v>
      </c>
      <c r="H1167" s="87"/>
      <c r="I1167" s="87"/>
    </row>
    <row r="1168" spans="3:9" x14ac:dyDescent="0.2">
      <c r="C1168" s="72">
        <v>0</v>
      </c>
      <c r="D1168" s="72">
        <v>0</v>
      </c>
      <c r="E1168" s="72">
        <v>0</v>
      </c>
      <c r="F1168" s="72">
        <v>0.2</v>
      </c>
      <c r="G1168" s="72">
        <v>0.8</v>
      </c>
      <c r="H1168" s="87"/>
      <c r="I1168" s="87"/>
    </row>
    <row r="1169" spans="3:15" x14ac:dyDescent="0.2">
      <c r="C1169" s="72">
        <v>0</v>
      </c>
      <c r="D1169" s="72">
        <v>0</v>
      </c>
      <c r="E1169" s="72">
        <v>0</v>
      </c>
      <c r="F1169" s="72">
        <v>0.15</v>
      </c>
      <c r="G1169" s="72">
        <v>0.85</v>
      </c>
      <c r="H1169" s="87"/>
      <c r="I1169" s="87"/>
    </row>
    <row r="1170" spans="3:15" x14ac:dyDescent="0.2">
      <c r="C1170" s="72">
        <v>0</v>
      </c>
      <c r="D1170" s="72">
        <v>0</v>
      </c>
      <c r="E1170" s="72">
        <v>0</v>
      </c>
      <c r="F1170" s="72">
        <v>0.1</v>
      </c>
      <c r="G1170" s="72">
        <v>0.9</v>
      </c>
      <c r="H1170" s="87"/>
      <c r="I1170" s="87"/>
    </row>
    <row r="1171" spans="3:15" x14ac:dyDescent="0.2">
      <c r="C1171" s="72">
        <v>0</v>
      </c>
      <c r="D1171" s="72">
        <v>0</v>
      </c>
      <c r="E1171" s="72">
        <v>0</v>
      </c>
      <c r="F1171" s="72">
        <v>0.05</v>
      </c>
      <c r="G1171" s="72">
        <v>0.95</v>
      </c>
      <c r="H1171" s="87"/>
      <c r="I1171" s="87"/>
    </row>
    <row r="1172" spans="3:15" x14ac:dyDescent="0.2">
      <c r="C1172" s="72">
        <v>0</v>
      </c>
      <c r="D1172" s="72">
        <v>0</v>
      </c>
      <c r="E1172" s="72">
        <v>0</v>
      </c>
      <c r="F1172" s="72">
        <v>0</v>
      </c>
      <c r="G1172" s="72">
        <v>1</v>
      </c>
      <c r="H1172" s="87"/>
      <c r="I1172" s="87"/>
    </row>
    <row r="1173" spans="3:15" x14ac:dyDescent="0.2">
      <c r="C1173" s="73">
        <v>1</v>
      </c>
      <c r="D1173" s="73">
        <v>0</v>
      </c>
      <c r="E1173" s="73">
        <v>0</v>
      </c>
      <c r="F1173" s="73">
        <v>0</v>
      </c>
      <c r="G1173" s="73">
        <v>0</v>
      </c>
      <c r="H1173" s="87"/>
      <c r="I1173" s="87"/>
      <c r="K1173" s="52"/>
      <c r="L1173" s="52"/>
      <c r="M1173" s="52"/>
      <c r="N1173" s="52"/>
      <c r="O1173" s="52"/>
    </row>
    <row r="1174" spans="3:15" x14ac:dyDescent="0.2">
      <c r="C1174" s="74">
        <v>0.99</v>
      </c>
      <c r="D1174" s="73">
        <v>0.01</v>
      </c>
      <c r="E1174" s="73">
        <v>0</v>
      </c>
      <c r="F1174" s="73">
        <v>0</v>
      </c>
      <c r="G1174" s="73">
        <v>0</v>
      </c>
      <c r="H1174" s="87"/>
      <c r="I1174" s="87"/>
      <c r="K1174" s="52"/>
      <c r="L1174" s="52"/>
      <c r="M1174" s="52"/>
      <c r="N1174" s="52"/>
      <c r="O1174" s="52"/>
    </row>
    <row r="1175" spans="3:15" x14ac:dyDescent="0.2">
      <c r="C1175" s="74">
        <v>0.98</v>
      </c>
      <c r="D1175" s="73">
        <v>0.02</v>
      </c>
      <c r="E1175" s="73">
        <v>0</v>
      </c>
      <c r="F1175" s="73">
        <v>0</v>
      </c>
      <c r="G1175" s="73">
        <v>0</v>
      </c>
      <c r="H1175" s="87"/>
      <c r="I1175" s="87"/>
      <c r="K1175" s="52"/>
      <c r="L1175" s="52"/>
      <c r="M1175" s="52"/>
      <c r="N1175" s="52"/>
      <c r="O1175" s="52"/>
    </row>
    <row r="1176" spans="3:15" x14ac:dyDescent="0.2">
      <c r="C1176" s="74">
        <v>0.97</v>
      </c>
      <c r="D1176" s="73">
        <v>0.03</v>
      </c>
      <c r="E1176" s="73">
        <v>0</v>
      </c>
      <c r="F1176" s="73">
        <v>0</v>
      </c>
      <c r="G1176" s="73">
        <v>0</v>
      </c>
      <c r="H1176" s="87"/>
      <c r="I1176" s="87"/>
      <c r="K1176" s="52"/>
      <c r="L1176" s="52"/>
      <c r="M1176" s="52"/>
      <c r="N1176" s="52"/>
      <c r="O1176" s="52"/>
    </row>
    <row r="1177" spans="3:15" x14ac:dyDescent="0.2">
      <c r="C1177" s="74">
        <v>0.96</v>
      </c>
      <c r="D1177" s="73">
        <v>0.04</v>
      </c>
      <c r="E1177" s="73">
        <v>0</v>
      </c>
      <c r="F1177" s="73">
        <v>0</v>
      </c>
      <c r="G1177" s="73">
        <v>0</v>
      </c>
      <c r="H1177" s="87"/>
      <c r="I1177" s="87"/>
      <c r="K1177" s="52"/>
      <c r="L1177" s="52"/>
      <c r="M1177" s="52"/>
      <c r="N1177" s="52"/>
      <c r="O1177" s="52"/>
    </row>
    <row r="1178" spans="3:15" x14ac:dyDescent="0.2">
      <c r="C1178" s="74">
        <v>0.95</v>
      </c>
      <c r="D1178" s="73">
        <v>0.05</v>
      </c>
      <c r="E1178" s="73">
        <v>0</v>
      </c>
      <c r="F1178" s="73">
        <v>0</v>
      </c>
      <c r="G1178" s="73">
        <v>0</v>
      </c>
      <c r="H1178" s="87"/>
      <c r="I1178" s="87"/>
      <c r="K1178" s="52"/>
      <c r="L1178" s="52"/>
      <c r="M1178" s="52"/>
      <c r="N1178" s="52"/>
      <c r="O1178" s="52"/>
    </row>
    <row r="1179" spans="3:15" x14ac:dyDescent="0.2">
      <c r="C1179" s="74">
        <v>0.94</v>
      </c>
      <c r="D1179" s="73">
        <v>0.06</v>
      </c>
      <c r="E1179" s="73">
        <v>0</v>
      </c>
      <c r="F1179" s="73">
        <v>0</v>
      </c>
      <c r="G1179" s="73">
        <v>0</v>
      </c>
      <c r="H1179" s="87"/>
      <c r="I1179" s="87"/>
      <c r="K1179" s="52"/>
      <c r="L1179" s="52"/>
      <c r="M1179" s="52"/>
      <c r="N1179" s="52"/>
      <c r="O1179" s="52"/>
    </row>
    <row r="1180" spans="3:15" x14ac:dyDescent="0.2">
      <c r="C1180" s="74">
        <v>0.93</v>
      </c>
      <c r="D1180" s="73">
        <v>7.0000000000000007E-2</v>
      </c>
      <c r="E1180" s="73">
        <v>0</v>
      </c>
      <c r="F1180" s="73">
        <v>0</v>
      </c>
      <c r="G1180" s="73">
        <v>0</v>
      </c>
      <c r="H1180" s="87"/>
      <c r="I1180" s="87"/>
      <c r="K1180" s="52"/>
      <c r="L1180" s="52"/>
      <c r="M1180" s="52"/>
      <c r="N1180" s="52"/>
      <c r="O1180" s="52"/>
    </row>
    <row r="1181" spans="3:15" x14ac:dyDescent="0.2">
      <c r="C1181" s="74">
        <v>0.92</v>
      </c>
      <c r="D1181" s="73">
        <v>0.08</v>
      </c>
      <c r="E1181" s="73">
        <v>0</v>
      </c>
      <c r="F1181" s="73">
        <v>0</v>
      </c>
      <c r="G1181" s="73">
        <v>0</v>
      </c>
      <c r="H1181" s="87"/>
      <c r="I1181" s="87"/>
      <c r="K1181" s="52"/>
      <c r="L1181" s="52"/>
      <c r="M1181" s="52"/>
      <c r="N1181" s="52"/>
      <c r="O1181" s="52"/>
    </row>
    <row r="1182" spans="3:15" x14ac:dyDescent="0.2">
      <c r="C1182" s="74">
        <v>0.91</v>
      </c>
      <c r="D1182" s="73">
        <v>0.09</v>
      </c>
      <c r="E1182" s="73">
        <v>0</v>
      </c>
      <c r="F1182" s="73">
        <v>0</v>
      </c>
      <c r="G1182" s="73">
        <v>0</v>
      </c>
      <c r="H1182" s="87"/>
      <c r="I1182" s="87"/>
      <c r="K1182" s="52"/>
      <c r="L1182" s="52"/>
      <c r="M1182" s="52"/>
      <c r="N1182" s="52"/>
      <c r="O1182" s="52"/>
    </row>
    <row r="1183" spans="3:15" x14ac:dyDescent="0.2">
      <c r="C1183" s="74">
        <v>0.9</v>
      </c>
      <c r="D1183" s="73">
        <v>0.1</v>
      </c>
      <c r="E1183" s="73">
        <v>0</v>
      </c>
      <c r="F1183" s="73">
        <v>0</v>
      </c>
      <c r="G1183" s="73">
        <v>0</v>
      </c>
      <c r="H1183" s="87"/>
      <c r="I1183" s="87"/>
      <c r="K1183" s="52"/>
      <c r="L1183" s="52"/>
      <c r="M1183" s="52"/>
      <c r="N1183" s="52"/>
      <c r="O1183" s="52"/>
    </row>
    <row r="1184" spans="3:15" x14ac:dyDescent="0.2">
      <c r="C1184" s="74">
        <v>0.89</v>
      </c>
      <c r="D1184" s="73">
        <v>0.11</v>
      </c>
      <c r="E1184" s="73">
        <v>0</v>
      </c>
      <c r="F1184" s="73">
        <v>0</v>
      </c>
      <c r="G1184" s="73">
        <v>0</v>
      </c>
      <c r="H1184" s="87"/>
      <c r="I1184" s="87"/>
      <c r="K1184" s="52"/>
      <c r="L1184" s="52"/>
      <c r="M1184" s="52"/>
      <c r="N1184" s="52"/>
      <c r="O1184" s="52"/>
    </row>
    <row r="1185" spans="3:15" x14ac:dyDescent="0.2">
      <c r="C1185" s="74">
        <v>0.88</v>
      </c>
      <c r="D1185" s="73">
        <v>0.12</v>
      </c>
      <c r="E1185" s="73">
        <v>0</v>
      </c>
      <c r="F1185" s="73">
        <v>0</v>
      </c>
      <c r="G1185" s="73">
        <v>0</v>
      </c>
      <c r="H1185" s="87"/>
      <c r="I1185" s="87"/>
      <c r="K1185" s="52"/>
      <c r="L1185" s="52"/>
      <c r="M1185" s="52"/>
      <c r="N1185" s="52"/>
      <c r="O1185" s="52"/>
    </row>
    <row r="1186" spans="3:15" x14ac:dyDescent="0.2">
      <c r="C1186" s="74">
        <v>0.87</v>
      </c>
      <c r="D1186" s="73">
        <v>0.13</v>
      </c>
      <c r="E1186" s="73">
        <v>0</v>
      </c>
      <c r="F1186" s="73">
        <v>0</v>
      </c>
      <c r="G1186" s="73">
        <v>0</v>
      </c>
      <c r="H1186" s="87"/>
      <c r="I1186" s="87"/>
      <c r="K1186" s="52"/>
      <c r="L1186" s="52"/>
      <c r="M1186" s="52"/>
      <c r="N1186" s="52"/>
      <c r="O1186" s="52"/>
    </row>
    <row r="1187" spans="3:15" x14ac:dyDescent="0.2">
      <c r="C1187" s="74">
        <v>0.86</v>
      </c>
      <c r="D1187" s="73">
        <v>0.14000000000000001</v>
      </c>
      <c r="E1187" s="73">
        <v>0</v>
      </c>
      <c r="F1187" s="73">
        <v>0</v>
      </c>
      <c r="G1187" s="73">
        <v>0</v>
      </c>
      <c r="H1187" s="87"/>
      <c r="I1187" s="87"/>
      <c r="K1187" s="52"/>
      <c r="L1187" s="52"/>
      <c r="M1187" s="52"/>
      <c r="N1187" s="52"/>
      <c r="O1187" s="52"/>
    </row>
    <row r="1188" spans="3:15" x14ac:dyDescent="0.2">
      <c r="C1188" s="74">
        <v>0.85</v>
      </c>
      <c r="D1188" s="73">
        <v>0.15</v>
      </c>
      <c r="E1188" s="73">
        <v>0</v>
      </c>
      <c r="F1188" s="73">
        <v>0</v>
      </c>
      <c r="G1188" s="73">
        <v>0</v>
      </c>
      <c r="H1188" s="87"/>
      <c r="I1188" s="87"/>
      <c r="K1188" s="52"/>
      <c r="L1188" s="52"/>
      <c r="M1188" s="52"/>
      <c r="N1188" s="52"/>
      <c r="O1188" s="52"/>
    </row>
    <row r="1189" spans="3:15" x14ac:dyDescent="0.2">
      <c r="C1189" s="74">
        <v>0.84</v>
      </c>
      <c r="D1189" s="73">
        <v>0.16</v>
      </c>
      <c r="E1189" s="73">
        <v>0</v>
      </c>
      <c r="F1189" s="73">
        <v>0</v>
      </c>
      <c r="G1189" s="73">
        <v>0</v>
      </c>
      <c r="H1189" s="87"/>
      <c r="I1189" s="87"/>
      <c r="K1189" s="52"/>
      <c r="L1189" s="52"/>
      <c r="M1189" s="52"/>
      <c r="N1189" s="52"/>
      <c r="O1189" s="52"/>
    </row>
    <row r="1190" spans="3:15" x14ac:dyDescent="0.2">
      <c r="C1190" s="74">
        <v>0.83</v>
      </c>
      <c r="D1190" s="73">
        <v>0.17</v>
      </c>
      <c r="E1190" s="73">
        <v>0</v>
      </c>
      <c r="F1190" s="73">
        <v>0</v>
      </c>
      <c r="G1190" s="73">
        <v>0</v>
      </c>
      <c r="H1190" s="87"/>
      <c r="I1190" s="87"/>
      <c r="K1190" s="52"/>
      <c r="L1190" s="52"/>
      <c r="M1190" s="52"/>
      <c r="N1190" s="52"/>
      <c r="O1190" s="52"/>
    </row>
    <row r="1191" spans="3:15" x14ac:dyDescent="0.2">
      <c r="C1191" s="74">
        <v>0.82</v>
      </c>
      <c r="D1191" s="73">
        <v>0.18</v>
      </c>
      <c r="E1191" s="73">
        <v>0</v>
      </c>
      <c r="F1191" s="73">
        <v>0</v>
      </c>
      <c r="G1191" s="73">
        <v>0</v>
      </c>
      <c r="H1191" s="87"/>
      <c r="I1191" s="87"/>
      <c r="K1191" s="52"/>
      <c r="L1191" s="52"/>
      <c r="M1191" s="52"/>
      <c r="N1191" s="52"/>
      <c r="O1191" s="52"/>
    </row>
    <row r="1192" spans="3:15" x14ac:dyDescent="0.2">
      <c r="C1192" s="74">
        <v>0.81</v>
      </c>
      <c r="D1192" s="73">
        <v>0.19</v>
      </c>
      <c r="E1192" s="73">
        <v>0</v>
      </c>
      <c r="F1192" s="73">
        <v>0</v>
      </c>
      <c r="G1192" s="73">
        <v>0</v>
      </c>
      <c r="H1192" s="87"/>
      <c r="I1192" s="87"/>
      <c r="K1192" s="52"/>
      <c r="L1192" s="52"/>
      <c r="M1192" s="52"/>
      <c r="N1192" s="52"/>
      <c r="O1192" s="52"/>
    </row>
    <row r="1193" spans="3:15" x14ac:dyDescent="0.2">
      <c r="C1193" s="74">
        <v>0.8</v>
      </c>
      <c r="D1193" s="73">
        <v>0.2</v>
      </c>
      <c r="E1193" s="73">
        <v>0</v>
      </c>
      <c r="F1193" s="73">
        <v>0</v>
      </c>
      <c r="G1193" s="73">
        <v>0</v>
      </c>
      <c r="H1193" s="87"/>
      <c r="I1193" s="87"/>
      <c r="K1193" s="52"/>
      <c r="L1193" s="52"/>
      <c r="M1193" s="52"/>
      <c r="N1193" s="52"/>
      <c r="O1193" s="52"/>
    </row>
    <row r="1194" spans="3:15" x14ac:dyDescent="0.2">
      <c r="C1194" s="74">
        <v>0.79</v>
      </c>
      <c r="D1194" s="73">
        <v>0.21</v>
      </c>
      <c r="E1194" s="73">
        <v>0</v>
      </c>
      <c r="F1194" s="73">
        <v>0</v>
      </c>
      <c r="G1194" s="73">
        <v>0</v>
      </c>
      <c r="H1194" s="87"/>
      <c r="I1194" s="87"/>
      <c r="K1194" s="52"/>
      <c r="L1194" s="52"/>
      <c r="M1194" s="52"/>
      <c r="N1194" s="52"/>
      <c r="O1194" s="52"/>
    </row>
    <row r="1195" spans="3:15" x14ac:dyDescent="0.2">
      <c r="C1195" s="74">
        <v>0.78</v>
      </c>
      <c r="D1195" s="73">
        <v>0.22</v>
      </c>
      <c r="E1195" s="73">
        <v>0</v>
      </c>
      <c r="F1195" s="73">
        <v>0</v>
      </c>
      <c r="G1195" s="73">
        <v>0</v>
      </c>
      <c r="H1195" s="87"/>
      <c r="I1195" s="87"/>
      <c r="K1195" s="52"/>
      <c r="L1195" s="52"/>
      <c r="M1195" s="52"/>
      <c r="N1195" s="52"/>
      <c r="O1195" s="52"/>
    </row>
    <row r="1196" spans="3:15" x14ac:dyDescent="0.2">
      <c r="C1196" s="74">
        <v>0.77</v>
      </c>
      <c r="D1196" s="73">
        <v>0.23</v>
      </c>
      <c r="E1196" s="73">
        <v>0</v>
      </c>
      <c r="F1196" s="73">
        <v>0</v>
      </c>
      <c r="G1196" s="73">
        <v>0</v>
      </c>
      <c r="H1196" s="87"/>
      <c r="I1196" s="87"/>
      <c r="K1196" s="52"/>
      <c r="L1196" s="52"/>
      <c r="M1196" s="52"/>
      <c r="N1196" s="52"/>
      <c r="O1196" s="52"/>
    </row>
    <row r="1197" spans="3:15" x14ac:dyDescent="0.2">
      <c r="C1197" s="74">
        <v>0.76</v>
      </c>
      <c r="D1197" s="73">
        <v>0.24</v>
      </c>
      <c r="E1197" s="73">
        <v>0</v>
      </c>
      <c r="F1197" s="73">
        <v>0</v>
      </c>
      <c r="G1197" s="73">
        <v>0</v>
      </c>
      <c r="H1197" s="87"/>
      <c r="I1197" s="87"/>
      <c r="K1197" s="52"/>
      <c r="L1197" s="52"/>
      <c r="M1197" s="52"/>
      <c r="N1197" s="52"/>
      <c r="O1197" s="52"/>
    </row>
    <row r="1198" spans="3:15" x14ac:dyDescent="0.2">
      <c r="C1198" s="74">
        <v>0.75</v>
      </c>
      <c r="D1198" s="73">
        <v>0.25</v>
      </c>
      <c r="E1198" s="73">
        <v>0</v>
      </c>
      <c r="F1198" s="73">
        <v>0</v>
      </c>
      <c r="G1198" s="73">
        <v>0</v>
      </c>
      <c r="H1198" s="87"/>
      <c r="I1198" s="87"/>
      <c r="K1198" s="52"/>
      <c r="L1198" s="52"/>
      <c r="M1198" s="52"/>
      <c r="N1198" s="52"/>
      <c r="O1198" s="52"/>
    </row>
    <row r="1199" spans="3:15" x14ac:dyDescent="0.2">
      <c r="C1199" s="74">
        <v>0.74</v>
      </c>
      <c r="D1199" s="73">
        <v>0.26</v>
      </c>
      <c r="E1199" s="73">
        <v>0</v>
      </c>
      <c r="F1199" s="73">
        <v>0</v>
      </c>
      <c r="G1199" s="73">
        <v>0</v>
      </c>
      <c r="H1199" s="87"/>
      <c r="I1199" s="87"/>
      <c r="K1199" s="52"/>
      <c r="L1199" s="52"/>
      <c r="M1199" s="52"/>
      <c r="N1199" s="52"/>
      <c r="O1199" s="52"/>
    </row>
    <row r="1200" spans="3:15" x14ac:dyDescent="0.2">
      <c r="C1200" s="74">
        <v>0.73</v>
      </c>
      <c r="D1200" s="73">
        <v>0.27</v>
      </c>
      <c r="E1200" s="73">
        <v>0</v>
      </c>
      <c r="F1200" s="73">
        <v>0</v>
      </c>
      <c r="G1200" s="73">
        <v>0</v>
      </c>
      <c r="H1200" s="87"/>
      <c r="I1200" s="87"/>
      <c r="K1200" s="52"/>
      <c r="L1200" s="52"/>
      <c r="M1200" s="52"/>
      <c r="N1200" s="52"/>
      <c r="O1200" s="52"/>
    </row>
    <row r="1201" spans="3:15" x14ac:dyDescent="0.2">
      <c r="C1201" s="74">
        <v>0.72</v>
      </c>
      <c r="D1201" s="73">
        <v>0.28000000000000003</v>
      </c>
      <c r="E1201" s="73">
        <v>0</v>
      </c>
      <c r="F1201" s="73">
        <v>0</v>
      </c>
      <c r="G1201" s="73">
        <v>0</v>
      </c>
      <c r="H1201" s="87"/>
      <c r="I1201" s="87"/>
      <c r="K1201" s="52"/>
      <c r="L1201" s="52"/>
      <c r="M1201" s="52"/>
      <c r="N1201" s="52"/>
      <c r="O1201" s="52"/>
    </row>
    <row r="1202" spans="3:15" x14ac:dyDescent="0.2">
      <c r="C1202" s="74">
        <v>0.71</v>
      </c>
      <c r="D1202" s="73">
        <v>0.28999999999999998</v>
      </c>
      <c r="E1202" s="73">
        <v>0</v>
      </c>
      <c r="F1202" s="73">
        <v>0</v>
      </c>
      <c r="G1202" s="73">
        <v>0</v>
      </c>
      <c r="H1202" s="87"/>
      <c r="I1202" s="87"/>
      <c r="K1202" s="52"/>
      <c r="L1202" s="52"/>
      <c r="M1202" s="52"/>
      <c r="N1202" s="52"/>
      <c r="O1202" s="52"/>
    </row>
    <row r="1203" spans="3:15" x14ac:dyDescent="0.2">
      <c r="C1203" s="74">
        <v>0.7</v>
      </c>
      <c r="D1203" s="73">
        <v>0.3</v>
      </c>
      <c r="E1203" s="73">
        <v>0</v>
      </c>
      <c r="F1203" s="73">
        <v>0</v>
      </c>
      <c r="G1203" s="73">
        <v>0</v>
      </c>
      <c r="H1203" s="87"/>
      <c r="I1203" s="87"/>
      <c r="K1203" s="52"/>
      <c r="L1203" s="52"/>
      <c r="M1203" s="52"/>
      <c r="N1203" s="52"/>
      <c r="O1203" s="52"/>
    </row>
    <row r="1204" spans="3:15" x14ac:dyDescent="0.2">
      <c r="C1204" s="74">
        <v>0.69</v>
      </c>
      <c r="D1204" s="73">
        <v>0.31</v>
      </c>
      <c r="E1204" s="73">
        <v>0</v>
      </c>
      <c r="F1204" s="73">
        <v>0</v>
      </c>
      <c r="G1204" s="73">
        <v>0</v>
      </c>
      <c r="H1204" s="87"/>
      <c r="I1204" s="87"/>
      <c r="K1204" s="52"/>
      <c r="L1204" s="52"/>
      <c r="M1204" s="52"/>
      <c r="N1204" s="52"/>
      <c r="O1204" s="52"/>
    </row>
    <row r="1205" spans="3:15" x14ac:dyDescent="0.2">
      <c r="C1205" s="74">
        <v>0.68</v>
      </c>
      <c r="D1205" s="73">
        <v>0.32</v>
      </c>
      <c r="E1205" s="73">
        <v>0</v>
      </c>
      <c r="F1205" s="73">
        <v>0</v>
      </c>
      <c r="G1205" s="73">
        <v>0</v>
      </c>
      <c r="H1205" s="87"/>
      <c r="I1205" s="87"/>
      <c r="K1205" s="52"/>
      <c r="L1205" s="52"/>
      <c r="M1205" s="52"/>
      <c r="N1205" s="52"/>
      <c r="O1205" s="52"/>
    </row>
    <row r="1206" spans="3:15" x14ac:dyDescent="0.2">
      <c r="C1206" s="74">
        <v>0.67</v>
      </c>
      <c r="D1206" s="73">
        <v>0.33</v>
      </c>
      <c r="E1206" s="73">
        <v>0</v>
      </c>
      <c r="F1206" s="73">
        <v>0</v>
      </c>
      <c r="G1206" s="73">
        <v>0</v>
      </c>
      <c r="H1206" s="87"/>
      <c r="I1206" s="87"/>
      <c r="K1206" s="52"/>
      <c r="L1206" s="52"/>
      <c r="M1206" s="52"/>
      <c r="N1206" s="52"/>
      <c r="O1206" s="52"/>
    </row>
    <row r="1207" spans="3:15" x14ac:dyDescent="0.2">
      <c r="C1207" s="74">
        <v>0.66</v>
      </c>
      <c r="D1207" s="73">
        <v>0.34</v>
      </c>
      <c r="E1207" s="73">
        <v>0</v>
      </c>
      <c r="F1207" s="73">
        <v>0</v>
      </c>
      <c r="G1207" s="73">
        <v>0</v>
      </c>
      <c r="H1207" s="87"/>
      <c r="I1207" s="87"/>
      <c r="K1207" s="52"/>
      <c r="L1207" s="52"/>
      <c r="M1207" s="52"/>
      <c r="N1207" s="52"/>
      <c r="O1207" s="52"/>
    </row>
    <row r="1208" spans="3:15" x14ac:dyDescent="0.2">
      <c r="C1208" s="74">
        <v>0.65</v>
      </c>
      <c r="D1208" s="73">
        <v>0.35</v>
      </c>
      <c r="E1208" s="73">
        <v>0</v>
      </c>
      <c r="F1208" s="73">
        <v>0</v>
      </c>
      <c r="G1208" s="73">
        <v>0</v>
      </c>
      <c r="H1208" s="87"/>
      <c r="I1208" s="87"/>
      <c r="K1208" s="52"/>
      <c r="L1208" s="52"/>
      <c r="M1208" s="52"/>
      <c r="N1208" s="52"/>
      <c r="O1208" s="52"/>
    </row>
    <row r="1209" spans="3:15" x14ac:dyDescent="0.2">
      <c r="C1209" s="74">
        <v>0.64</v>
      </c>
      <c r="D1209" s="73">
        <v>0.36</v>
      </c>
      <c r="E1209" s="73">
        <v>0</v>
      </c>
      <c r="F1209" s="73">
        <v>0</v>
      </c>
      <c r="G1209" s="73">
        <v>0</v>
      </c>
      <c r="H1209" s="87"/>
      <c r="I1209" s="87"/>
      <c r="K1209" s="52"/>
      <c r="L1209" s="52"/>
      <c r="M1209" s="52"/>
      <c r="N1209" s="52"/>
      <c r="O1209" s="52"/>
    </row>
    <row r="1210" spans="3:15" x14ac:dyDescent="0.2">
      <c r="C1210" s="74">
        <v>0.63</v>
      </c>
      <c r="D1210" s="73">
        <v>0.37</v>
      </c>
      <c r="E1210" s="73">
        <v>0</v>
      </c>
      <c r="F1210" s="73">
        <v>0</v>
      </c>
      <c r="G1210" s="73">
        <v>0</v>
      </c>
      <c r="H1210" s="87"/>
      <c r="I1210" s="87"/>
      <c r="K1210" s="52"/>
      <c r="L1210" s="52"/>
      <c r="M1210" s="52"/>
      <c r="N1210" s="52"/>
      <c r="O1210" s="52"/>
    </row>
    <row r="1211" spans="3:15" x14ac:dyDescent="0.2">
      <c r="C1211" s="74">
        <v>0.62</v>
      </c>
      <c r="D1211" s="73">
        <v>0.38</v>
      </c>
      <c r="E1211" s="73">
        <v>0</v>
      </c>
      <c r="F1211" s="73">
        <v>0</v>
      </c>
      <c r="G1211" s="73">
        <v>0</v>
      </c>
      <c r="H1211" s="87"/>
      <c r="I1211" s="87"/>
      <c r="K1211" s="52"/>
      <c r="L1211" s="52"/>
      <c r="M1211" s="52"/>
      <c r="N1211" s="52"/>
      <c r="O1211" s="52"/>
    </row>
    <row r="1212" spans="3:15" x14ac:dyDescent="0.2">
      <c r="C1212" s="74">
        <v>0.61</v>
      </c>
      <c r="D1212" s="73">
        <v>0.39</v>
      </c>
      <c r="E1212" s="73">
        <v>0</v>
      </c>
      <c r="F1212" s="73">
        <v>0</v>
      </c>
      <c r="G1212" s="73">
        <v>0</v>
      </c>
      <c r="H1212" s="87"/>
      <c r="I1212" s="87"/>
      <c r="K1212" s="52"/>
      <c r="L1212" s="52"/>
      <c r="M1212" s="52"/>
      <c r="N1212" s="52"/>
      <c r="O1212" s="52"/>
    </row>
    <row r="1213" spans="3:15" x14ac:dyDescent="0.2">
      <c r="C1213" s="74">
        <v>0.6</v>
      </c>
      <c r="D1213" s="73">
        <v>0.4</v>
      </c>
      <c r="E1213" s="73">
        <v>0</v>
      </c>
      <c r="F1213" s="73">
        <v>0</v>
      </c>
      <c r="G1213" s="73">
        <v>0</v>
      </c>
      <c r="H1213" s="87"/>
      <c r="I1213" s="87"/>
      <c r="K1213" s="52"/>
      <c r="L1213" s="52"/>
      <c r="M1213" s="52"/>
      <c r="N1213" s="52"/>
      <c r="O1213" s="52"/>
    </row>
    <row r="1214" spans="3:15" x14ac:dyDescent="0.2">
      <c r="C1214" s="74">
        <v>0.59</v>
      </c>
      <c r="D1214" s="73">
        <v>0.41</v>
      </c>
      <c r="E1214" s="73">
        <v>0</v>
      </c>
      <c r="F1214" s="73">
        <v>0</v>
      </c>
      <c r="G1214" s="73">
        <v>0</v>
      </c>
      <c r="H1214" s="87"/>
      <c r="I1214" s="87"/>
      <c r="K1214" s="52"/>
      <c r="L1214" s="52"/>
      <c r="M1214" s="52"/>
      <c r="N1214" s="52"/>
      <c r="O1214" s="52"/>
    </row>
    <row r="1215" spans="3:15" x14ac:dyDescent="0.2">
      <c r="C1215" s="74">
        <v>0.57999999999999996</v>
      </c>
      <c r="D1215" s="73">
        <v>0.42</v>
      </c>
      <c r="E1215" s="73">
        <v>0</v>
      </c>
      <c r="F1215" s="73">
        <v>0</v>
      </c>
      <c r="G1215" s="73">
        <v>0</v>
      </c>
      <c r="H1215" s="87"/>
      <c r="I1215" s="87"/>
      <c r="K1215" s="52"/>
      <c r="L1215" s="52"/>
      <c r="M1215" s="52"/>
      <c r="N1215" s="52"/>
      <c r="O1215" s="52"/>
    </row>
    <row r="1216" spans="3:15" x14ac:dyDescent="0.2">
      <c r="C1216" s="74">
        <v>0.56999999999999995</v>
      </c>
      <c r="D1216" s="73">
        <v>0.43</v>
      </c>
      <c r="E1216" s="73">
        <v>0</v>
      </c>
      <c r="F1216" s="73">
        <v>0</v>
      </c>
      <c r="G1216" s="73">
        <v>0</v>
      </c>
      <c r="H1216" s="87"/>
      <c r="I1216" s="87"/>
      <c r="K1216" s="52"/>
      <c r="L1216" s="52"/>
      <c r="M1216" s="52"/>
      <c r="N1216" s="52"/>
      <c r="O1216" s="52"/>
    </row>
    <row r="1217" spans="3:15" x14ac:dyDescent="0.2">
      <c r="C1217" s="74">
        <v>0.56000000000000005</v>
      </c>
      <c r="D1217" s="73">
        <v>0.44</v>
      </c>
      <c r="E1217" s="73">
        <v>0</v>
      </c>
      <c r="F1217" s="73">
        <v>0</v>
      </c>
      <c r="G1217" s="73">
        <v>0</v>
      </c>
      <c r="H1217" s="87"/>
      <c r="I1217" s="87"/>
      <c r="K1217" s="52"/>
      <c r="L1217" s="52"/>
      <c r="M1217" s="52"/>
      <c r="N1217" s="52"/>
      <c r="O1217" s="52"/>
    </row>
    <row r="1218" spans="3:15" x14ac:dyDescent="0.2">
      <c r="C1218" s="74">
        <v>0.55000000000000004</v>
      </c>
      <c r="D1218" s="73">
        <v>0.45</v>
      </c>
      <c r="E1218" s="73">
        <v>0</v>
      </c>
      <c r="F1218" s="73">
        <v>0</v>
      </c>
      <c r="G1218" s="73">
        <v>0</v>
      </c>
      <c r="H1218" s="87"/>
      <c r="I1218" s="87"/>
      <c r="K1218" s="52"/>
      <c r="L1218" s="52"/>
      <c r="M1218" s="52"/>
      <c r="N1218" s="52"/>
      <c r="O1218" s="52"/>
    </row>
    <row r="1219" spans="3:15" x14ac:dyDescent="0.2">
      <c r="C1219" s="74">
        <v>0.54</v>
      </c>
      <c r="D1219" s="73">
        <v>0.46</v>
      </c>
      <c r="E1219" s="73">
        <v>0</v>
      </c>
      <c r="F1219" s="73">
        <v>0</v>
      </c>
      <c r="G1219" s="73">
        <v>0</v>
      </c>
      <c r="H1219" s="87"/>
      <c r="I1219" s="87"/>
      <c r="K1219" s="52"/>
      <c r="L1219" s="52"/>
      <c r="M1219" s="52"/>
      <c r="N1219" s="52"/>
      <c r="O1219" s="52"/>
    </row>
    <row r="1220" spans="3:15" x14ac:dyDescent="0.2">
      <c r="C1220" s="74">
        <v>0.53</v>
      </c>
      <c r="D1220" s="73">
        <v>0.47</v>
      </c>
      <c r="E1220" s="73">
        <v>0</v>
      </c>
      <c r="F1220" s="73">
        <v>0</v>
      </c>
      <c r="G1220" s="73">
        <v>0</v>
      </c>
      <c r="H1220" s="87"/>
      <c r="I1220" s="87"/>
      <c r="K1220" s="52"/>
      <c r="L1220" s="52"/>
      <c r="M1220" s="52"/>
      <c r="N1220" s="52"/>
      <c r="O1220" s="52"/>
    </row>
    <row r="1221" spans="3:15" x14ac:dyDescent="0.2">
      <c r="C1221" s="74">
        <v>0.52</v>
      </c>
      <c r="D1221" s="73">
        <v>0.48</v>
      </c>
      <c r="E1221" s="73">
        <v>0</v>
      </c>
      <c r="F1221" s="73">
        <v>0</v>
      </c>
      <c r="G1221" s="73">
        <v>0</v>
      </c>
      <c r="H1221" s="87"/>
      <c r="I1221" s="87"/>
      <c r="K1221" s="52"/>
      <c r="L1221" s="52"/>
      <c r="M1221" s="52"/>
      <c r="N1221" s="52"/>
      <c r="O1221" s="52"/>
    </row>
    <row r="1222" spans="3:15" x14ac:dyDescent="0.2">
      <c r="C1222" s="74">
        <v>0.51</v>
      </c>
      <c r="D1222" s="73">
        <v>0.49</v>
      </c>
      <c r="E1222" s="73">
        <v>0</v>
      </c>
      <c r="F1222" s="73">
        <v>0</v>
      </c>
      <c r="G1222" s="73">
        <v>0</v>
      </c>
      <c r="H1222" s="87"/>
      <c r="I1222" s="87"/>
      <c r="K1222" s="52"/>
      <c r="L1222" s="52"/>
      <c r="M1222" s="52"/>
      <c r="N1222" s="52"/>
      <c r="O1222" s="52"/>
    </row>
    <row r="1223" spans="3:15" x14ac:dyDescent="0.2">
      <c r="C1223" s="74">
        <v>0.5</v>
      </c>
      <c r="D1223" s="73">
        <v>0.5</v>
      </c>
      <c r="E1223" s="73">
        <v>0</v>
      </c>
      <c r="F1223" s="73">
        <v>0</v>
      </c>
      <c r="G1223" s="73">
        <v>0</v>
      </c>
      <c r="H1223" s="87"/>
      <c r="I1223" s="87"/>
      <c r="K1223" s="52"/>
      <c r="L1223" s="52"/>
      <c r="M1223" s="52"/>
      <c r="N1223" s="52"/>
      <c r="O1223" s="52"/>
    </row>
    <row r="1224" spans="3:15" x14ac:dyDescent="0.2">
      <c r="C1224" s="74">
        <v>0.49</v>
      </c>
      <c r="D1224" s="73">
        <v>0.51</v>
      </c>
      <c r="E1224" s="73">
        <v>0</v>
      </c>
      <c r="F1224" s="73">
        <v>0</v>
      </c>
      <c r="G1224" s="73">
        <v>0</v>
      </c>
      <c r="H1224" s="87"/>
      <c r="I1224" s="87"/>
      <c r="K1224" s="52"/>
      <c r="L1224" s="52"/>
      <c r="M1224" s="52"/>
      <c r="N1224" s="52"/>
      <c r="O1224" s="52"/>
    </row>
    <row r="1225" spans="3:15" x14ac:dyDescent="0.2">
      <c r="C1225" s="74">
        <v>0.48</v>
      </c>
      <c r="D1225" s="73">
        <v>0.52</v>
      </c>
      <c r="E1225" s="73">
        <v>0</v>
      </c>
      <c r="F1225" s="73">
        <v>0</v>
      </c>
      <c r="G1225" s="73">
        <v>0</v>
      </c>
      <c r="H1225" s="87"/>
      <c r="I1225" s="87"/>
      <c r="K1225" s="52"/>
      <c r="L1225" s="52"/>
      <c r="M1225" s="52"/>
      <c r="N1225" s="52"/>
      <c r="O1225" s="52"/>
    </row>
    <row r="1226" spans="3:15" x14ac:dyDescent="0.2">
      <c r="C1226" s="74">
        <v>0.47</v>
      </c>
      <c r="D1226" s="73">
        <v>0.53</v>
      </c>
      <c r="E1226" s="73">
        <v>0</v>
      </c>
      <c r="F1226" s="73">
        <v>0</v>
      </c>
      <c r="G1226" s="73">
        <v>0</v>
      </c>
      <c r="H1226" s="87"/>
      <c r="I1226" s="87"/>
      <c r="K1226" s="52"/>
      <c r="L1226" s="52"/>
      <c r="M1226" s="52"/>
      <c r="N1226" s="52"/>
      <c r="O1226" s="52"/>
    </row>
    <row r="1227" spans="3:15" x14ac:dyDescent="0.2">
      <c r="C1227" s="74">
        <v>0.46</v>
      </c>
      <c r="D1227" s="73">
        <v>0.54</v>
      </c>
      <c r="E1227" s="73">
        <v>0</v>
      </c>
      <c r="F1227" s="73">
        <v>0</v>
      </c>
      <c r="G1227" s="73">
        <v>0</v>
      </c>
      <c r="H1227" s="87"/>
      <c r="I1227" s="87"/>
      <c r="K1227" s="52"/>
      <c r="L1227" s="52"/>
      <c r="M1227" s="52"/>
      <c r="N1227" s="52"/>
      <c r="O1227" s="52"/>
    </row>
    <row r="1228" spans="3:15" x14ac:dyDescent="0.2">
      <c r="C1228" s="74">
        <v>0.45</v>
      </c>
      <c r="D1228" s="73">
        <v>0.55000000000000004</v>
      </c>
      <c r="E1228" s="73">
        <v>0</v>
      </c>
      <c r="F1228" s="73">
        <v>0</v>
      </c>
      <c r="G1228" s="73">
        <v>0</v>
      </c>
      <c r="H1228" s="87"/>
      <c r="I1228" s="87"/>
      <c r="K1228" s="52"/>
      <c r="L1228" s="52"/>
      <c r="M1228" s="52"/>
      <c r="N1228" s="52"/>
      <c r="O1228" s="52"/>
    </row>
    <row r="1229" spans="3:15" x14ac:dyDescent="0.2">
      <c r="C1229" s="74">
        <v>0.44</v>
      </c>
      <c r="D1229" s="73">
        <v>0.56000000000000005</v>
      </c>
      <c r="E1229" s="73">
        <v>0</v>
      </c>
      <c r="F1229" s="73">
        <v>0</v>
      </c>
      <c r="G1229" s="73">
        <v>0</v>
      </c>
      <c r="H1229" s="87"/>
      <c r="I1229" s="87"/>
      <c r="K1229" s="52"/>
      <c r="L1229" s="52"/>
      <c r="M1229" s="52"/>
      <c r="N1229" s="52"/>
      <c r="O1229" s="52"/>
    </row>
    <row r="1230" spans="3:15" x14ac:dyDescent="0.2">
      <c r="C1230" s="74">
        <v>0.43</v>
      </c>
      <c r="D1230" s="73">
        <v>0.56999999999999995</v>
      </c>
      <c r="E1230" s="73">
        <v>0</v>
      </c>
      <c r="F1230" s="73">
        <v>0</v>
      </c>
      <c r="G1230" s="73">
        <v>0</v>
      </c>
      <c r="H1230" s="87"/>
      <c r="I1230" s="87"/>
      <c r="K1230" s="52"/>
      <c r="L1230" s="52"/>
      <c r="M1230" s="52"/>
      <c r="N1230" s="52"/>
      <c r="O1230" s="52"/>
    </row>
    <row r="1231" spans="3:15" x14ac:dyDescent="0.2">
      <c r="C1231" s="74">
        <v>0.42</v>
      </c>
      <c r="D1231" s="73">
        <v>0.57999999999999996</v>
      </c>
      <c r="E1231" s="73">
        <v>0</v>
      </c>
      <c r="F1231" s="73">
        <v>0</v>
      </c>
      <c r="G1231" s="73">
        <v>0</v>
      </c>
      <c r="H1231" s="87"/>
      <c r="I1231" s="87"/>
      <c r="K1231" s="52"/>
      <c r="L1231" s="52"/>
      <c r="M1231" s="52"/>
      <c r="N1231" s="52"/>
      <c r="O1231" s="52"/>
    </row>
    <row r="1232" spans="3:15" x14ac:dyDescent="0.2">
      <c r="C1232" s="74">
        <v>0.41</v>
      </c>
      <c r="D1232" s="73">
        <v>0.59</v>
      </c>
      <c r="E1232" s="73">
        <v>0</v>
      </c>
      <c r="F1232" s="73">
        <v>0</v>
      </c>
      <c r="G1232" s="73">
        <v>0</v>
      </c>
      <c r="H1232" s="87"/>
      <c r="I1232" s="87"/>
      <c r="K1232" s="52"/>
      <c r="L1232" s="52"/>
      <c r="M1232" s="52"/>
      <c r="N1232" s="52"/>
      <c r="O1232" s="52"/>
    </row>
    <row r="1233" spans="3:15" x14ac:dyDescent="0.2">
      <c r="C1233" s="74">
        <v>0.4</v>
      </c>
      <c r="D1233" s="73">
        <v>0.6</v>
      </c>
      <c r="E1233" s="73">
        <v>0</v>
      </c>
      <c r="F1233" s="73">
        <v>0</v>
      </c>
      <c r="G1233" s="73">
        <v>0</v>
      </c>
      <c r="H1233" s="87"/>
      <c r="I1233" s="87"/>
      <c r="K1233" s="52"/>
      <c r="L1233" s="52"/>
      <c r="M1233" s="52"/>
      <c r="N1233" s="52"/>
      <c r="O1233" s="52"/>
    </row>
    <row r="1234" spans="3:15" x14ac:dyDescent="0.2">
      <c r="C1234" s="74">
        <v>0.39</v>
      </c>
      <c r="D1234" s="73">
        <v>0.61</v>
      </c>
      <c r="E1234" s="73">
        <v>0</v>
      </c>
      <c r="F1234" s="73">
        <v>0</v>
      </c>
      <c r="G1234" s="73">
        <v>0</v>
      </c>
      <c r="H1234" s="87"/>
      <c r="I1234" s="87"/>
      <c r="K1234" s="52"/>
      <c r="L1234" s="52"/>
      <c r="M1234" s="52"/>
      <c r="N1234" s="52"/>
      <c r="O1234" s="52"/>
    </row>
    <row r="1235" spans="3:15" x14ac:dyDescent="0.2">
      <c r="C1235" s="74">
        <v>0.38</v>
      </c>
      <c r="D1235" s="73">
        <v>0.62</v>
      </c>
      <c r="E1235" s="73">
        <v>0</v>
      </c>
      <c r="F1235" s="73">
        <v>0</v>
      </c>
      <c r="G1235" s="73">
        <v>0</v>
      </c>
      <c r="H1235" s="87"/>
      <c r="I1235" s="87"/>
      <c r="K1235" s="52"/>
      <c r="L1235" s="52"/>
      <c r="M1235" s="52"/>
      <c r="N1235" s="52"/>
      <c r="O1235" s="52"/>
    </row>
    <row r="1236" spans="3:15" x14ac:dyDescent="0.2">
      <c r="C1236" s="74">
        <v>0.37</v>
      </c>
      <c r="D1236" s="73">
        <v>0.63</v>
      </c>
      <c r="E1236" s="73">
        <v>0</v>
      </c>
      <c r="F1236" s="73">
        <v>0</v>
      </c>
      <c r="G1236" s="73">
        <v>0</v>
      </c>
      <c r="H1236" s="87"/>
      <c r="I1236" s="87"/>
      <c r="K1236" s="52"/>
      <c r="L1236" s="52"/>
      <c r="M1236" s="52"/>
      <c r="N1236" s="52"/>
      <c r="O1236" s="52"/>
    </row>
    <row r="1237" spans="3:15" x14ac:dyDescent="0.2">
      <c r="C1237" s="74">
        <v>0.36</v>
      </c>
      <c r="D1237" s="73">
        <v>0.64</v>
      </c>
      <c r="E1237" s="73">
        <v>0</v>
      </c>
      <c r="F1237" s="73">
        <v>0</v>
      </c>
      <c r="G1237" s="73">
        <v>0</v>
      </c>
      <c r="H1237" s="87"/>
      <c r="I1237" s="87"/>
      <c r="K1237" s="52"/>
      <c r="L1237" s="52"/>
      <c r="M1237" s="52"/>
      <c r="N1237" s="52"/>
      <c r="O1237" s="52"/>
    </row>
    <row r="1238" spans="3:15" x14ac:dyDescent="0.2">
      <c r="C1238" s="74">
        <v>0.35</v>
      </c>
      <c r="D1238" s="73">
        <v>0.65</v>
      </c>
      <c r="E1238" s="73">
        <v>0</v>
      </c>
      <c r="F1238" s="73">
        <v>0</v>
      </c>
      <c r="G1238" s="73">
        <v>0</v>
      </c>
      <c r="H1238" s="87"/>
      <c r="I1238" s="87"/>
      <c r="K1238" s="52"/>
      <c r="L1238" s="52"/>
      <c r="M1238" s="52"/>
      <c r="N1238" s="52"/>
      <c r="O1238" s="52"/>
    </row>
    <row r="1239" spans="3:15" x14ac:dyDescent="0.2">
      <c r="C1239" s="74">
        <v>0.34</v>
      </c>
      <c r="D1239" s="73">
        <v>0.66</v>
      </c>
      <c r="E1239" s="73">
        <v>0</v>
      </c>
      <c r="F1239" s="73">
        <v>0</v>
      </c>
      <c r="G1239" s="73">
        <v>0</v>
      </c>
      <c r="H1239" s="87"/>
      <c r="I1239" s="87"/>
      <c r="K1239" s="52"/>
      <c r="L1239" s="52"/>
      <c r="M1239" s="52"/>
      <c r="N1239" s="52"/>
      <c r="O1239" s="52"/>
    </row>
    <row r="1240" spans="3:15" x14ac:dyDescent="0.2">
      <c r="C1240" s="74">
        <v>0.33</v>
      </c>
      <c r="D1240" s="73">
        <v>0.67</v>
      </c>
      <c r="E1240" s="73">
        <v>0</v>
      </c>
      <c r="F1240" s="73">
        <v>0</v>
      </c>
      <c r="G1240" s="73">
        <v>0</v>
      </c>
      <c r="H1240" s="87"/>
      <c r="I1240" s="87"/>
      <c r="K1240" s="52"/>
      <c r="L1240" s="52"/>
      <c r="M1240" s="52"/>
      <c r="N1240" s="52"/>
      <c r="O1240" s="52"/>
    </row>
    <row r="1241" spans="3:15" x14ac:dyDescent="0.2">
      <c r="C1241" s="74">
        <v>0.32</v>
      </c>
      <c r="D1241" s="73">
        <v>0.68</v>
      </c>
      <c r="E1241" s="73">
        <v>0</v>
      </c>
      <c r="F1241" s="73">
        <v>0</v>
      </c>
      <c r="G1241" s="73">
        <v>0</v>
      </c>
      <c r="H1241" s="87"/>
      <c r="I1241" s="87"/>
      <c r="K1241" s="52"/>
      <c r="L1241" s="52"/>
      <c r="M1241" s="52"/>
      <c r="N1241" s="52"/>
      <c r="O1241" s="52"/>
    </row>
    <row r="1242" spans="3:15" x14ac:dyDescent="0.2">
      <c r="C1242" s="74">
        <v>0.31</v>
      </c>
      <c r="D1242" s="73">
        <v>0.69</v>
      </c>
      <c r="E1242" s="73">
        <v>0</v>
      </c>
      <c r="F1242" s="73">
        <v>0</v>
      </c>
      <c r="G1242" s="73">
        <v>0</v>
      </c>
      <c r="H1242" s="87"/>
      <c r="I1242" s="87"/>
      <c r="K1242" s="52"/>
      <c r="L1242" s="52"/>
      <c r="M1242" s="52"/>
      <c r="N1242" s="52"/>
      <c r="O1242" s="52"/>
    </row>
    <row r="1243" spans="3:15" x14ac:dyDescent="0.2">
      <c r="C1243" s="74">
        <v>0.3</v>
      </c>
      <c r="D1243" s="73">
        <v>0.7</v>
      </c>
      <c r="E1243" s="73">
        <v>0</v>
      </c>
      <c r="F1243" s="73">
        <v>0</v>
      </c>
      <c r="G1243" s="73">
        <v>0</v>
      </c>
      <c r="H1243" s="87"/>
      <c r="I1243" s="87"/>
      <c r="K1243" s="52"/>
      <c r="L1243" s="52"/>
      <c r="M1243" s="52"/>
      <c r="N1243" s="52"/>
      <c r="O1243" s="52"/>
    </row>
    <row r="1244" spans="3:15" x14ac:dyDescent="0.2">
      <c r="C1244" s="74">
        <v>0.28999999999999998</v>
      </c>
      <c r="D1244" s="73">
        <v>0.71</v>
      </c>
      <c r="E1244" s="73">
        <v>0</v>
      </c>
      <c r="F1244" s="73">
        <v>0</v>
      </c>
      <c r="G1244" s="73">
        <v>0</v>
      </c>
      <c r="H1244" s="87"/>
      <c r="I1244" s="87"/>
      <c r="K1244" s="52"/>
      <c r="L1244" s="52"/>
      <c r="M1244" s="52"/>
      <c r="N1244" s="52"/>
      <c r="O1244" s="52"/>
    </row>
    <row r="1245" spans="3:15" x14ac:dyDescent="0.2">
      <c r="C1245" s="74">
        <v>0.28000000000000003</v>
      </c>
      <c r="D1245" s="73">
        <v>0.72</v>
      </c>
      <c r="E1245" s="73">
        <v>0</v>
      </c>
      <c r="F1245" s="73">
        <v>0</v>
      </c>
      <c r="G1245" s="73">
        <v>0</v>
      </c>
      <c r="H1245" s="87"/>
      <c r="I1245" s="87"/>
      <c r="K1245" s="52"/>
      <c r="L1245" s="52"/>
      <c r="M1245" s="52"/>
      <c r="N1245" s="52"/>
      <c r="O1245" s="52"/>
    </row>
    <row r="1246" spans="3:15" x14ac:dyDescent="0.2">
      <c r="C1246" s="74">
        <v>0.27</v>
      </c>
      <c r="D1246" s="73">
        <v>0.73</v>
      </c>
      <c r="E1246" s="73">
        <v>0</v>
      </c>
      <c r="F1246" s="73">
        <v>0</v>
      </c>
      <c r="G1246" s="73">
        <v>0</v>
      </c>
      <c r="H1246" s="87"/>
      <c r="I1246" s="87"/>
      <c r="K1246" s="52"/>
      <c r="L1246" s="52"/>
      <c r="M1246" s="52"/>
      <c r="N1246" s="52"/>
      <c r="O1246" s="52"/>
    </row>
    <row r="1247" spans="3:15" x14ac:dyDescent="0.2">
      <c r="C1247" s="74">
        <v>0.26</v>
      </c>
      <c r="D1247" s="73">
        <v>0.74</v>
      </c>
      <c r="E1247" s="73">
        <v>0</v>
      </c>
      <c r="F1247" s="73">
        <v>0</v>
      </c>
      <c r="G1247" s="73">
        <v>0</v>
      </c>
      <c r="H1247" s="87"/>
      <c r="I1247" s="87"/>
      <c r="K1247" s="52"/>
      <c r="L1247" s="52"/>
      <c r="M1247" s="52"/>
      <c r="N1247" s="52"/>
      <c r="O1247" s="52"/>
    </row>
    <row r="1248" spans="3:15" x14ac:dyDescent="0.2">
      <c r="C1248" s="74">
        <v>0.25</v>
      </c>
      <c r="D1248" s="73">
        <v>0.75</v>
      </c>
      <c r="E1248" s="73">
        <v>0</v>
      </c>
      <c r="F1248" s="73">
        <v>0</v>
      </c>
      <c r="G1248" s="73">
        <v>0</v>
      </c>
      <c r="H1248" s="87"/>
      <c r="I1248" s="87"/>
      <c r="K1248" s="52"/>
      <c r="L1248" s="52"/>
      <c r="M1248" s="52"/>
      <c r="N1248" s="52"/>
      <c r="O1248" s="52"/>
    </row>
    <row r="1249" spans="3:15" x14ac:dyDescent="0.2">
      <c r="C1249" s="74">
        <v>0.24</v>
      </c>
      <c r="D1249" s="73">
        <v>0.76</v>
      </c>
      <c r="E1249" s="73">
        <v>0</v>
      </c>
      <c r="F1249" s="73">
        <v>0</v>
      </c>
      <c r="G1249" s="73">
        <v>0</v>
      </c>
      <c r="H1249" s="87"/>
      <c r="I1249" s="87"/>
      <c r="K1249" s="52"/>
      <c r="L1249" s="52"/>
      <c r="M1249" s="52"/>
      <c r="N1249" s="52"/>
      <c r="O1249" s="52"/>
    </row>
    <row r="1250" spans="3:15" x14ac:dyDescent="0.2">
      <c r="C1250" s="74">
        <v>0.23</v>
      </c>
      <c r="D1250" s="73">
        <v>0.77</v>
      </c>
      <c r="E1250" s="73">
        <v>0</v>
      </c>
      <c r="F1250" s="73">
        <v>0</v>
      </c>
      <c r="G1250" s="73">
        <v>0</v>
      </c>
      <c r="H1250" s="87"/>
      <c r="I1250" s="87"/>
      <c r="K1250" s="52"/>
      <c r="L1250" s="52"/>
      <c r="M1250" s="52"/>
      <c r="N1250" s="52"/>
      <c r="O1250" s="52"/>
    </row>
    <row r="1251" spans="3:15" x14ac:dyDescent="0.2">
      <c r="C1251" s="74">
        <v>0.22</v>
      </c>
      <c r="D1251" s="73">
        <v>0.78</v>
      </c>
      <c r="E1251" s="73">
        <v>0</v>
      </c>
      <c r="F1251" s="73">
        <v>0</v>
      </c>
      <c r="G1251" s="73">
        <v>0</v>
      </c>
      <c r="H1251" s="87"/>
      <c r="I1251" s="87"/>
      <c r="K1251" s="52"/>
      <c r="L1251" s="52"/>
      <c r="M1251" s="52"/>
      <c r="N1251" s="52"/>
      <c r="O1251" s="52"/>
    </row>
    <row r="1252" spans="3:15" x14ac:dyDescent="0.2">
      <c r="C1252" s="74">
        <v>0.21</v>
      </c>
      <c r="D1252" s="73">
        <v>0.79</v>
      </c>
      <c r="E1252" s="73">
        <v>0</v>
      </c>
      <c r="F1252" s="73">
        <v>0</v>
      </c>
      <c r="G1252" s="73">
        <v>0</v>
      </c>
      <c r="H1252" s="87"/>
      <c r="I1252" s="87"/>
      <c r="K1252" s="52"/>
      <c r="L1252" s="52"/>
      <c r="M1252" s="52"/>
      <c r="N1252" s="52"/>
      <c r="O1252" s="52"/>
    </row>
    <row r="1253" spans="3:15" x14ac:dyDescent="0.2">
      <c r="C1253" s="74">
        <v>0.2</v>
      </c>
      <c r="D1253" s="73">
        <v>0.8</v>
      </c>
      <c r="E1253" s="73">
        <v>0</v>
      </c>
      <c r="F1253" s="73">
        <v>0</v>
      </c>
      <c r="G1253" s="73">
        <v>0</v>
      </c>
      <c r="H1253" s="87"/>
      <c r="I1253" s="87"/>
      <c r="K1253" s="52"/>
      <c r="L1253" s="52"/>
      <c r="M1253" s="52"/>
      <c r="N1253" s="52"/>
      <c r="O1253" s="52"/>
    </row>
    <row r="1254" spans="3:15" x14ac:dyDescent="0.2">
      <c r="C1254" s="74">
        <v>0.19</v>
      </c>
      <c r="D1254" s="73">
        <v>0.81</v>
      </c>
      <c r="E1254" s="73">
        <v>0</v>
      </c>
      <c r="F1254" s="73">
        <v>0</v>
      </c>
      <c r="G1254" s="73">
        <v>0</v>
      </c>
      <c r="H1254" s="87"/>
      <c r="I1254" s="87"/>
      <c r="K1254" s="52"/>
      <c r="L1254" s="52"/>
      <c r="M1254" s="52"/>
      <c r="N1254" s="52"/>
      <c r="O1254" s="52"/>
    </row>
    <row r="1255" spans="3:15" x14ac:dyDescent="0.2">
      <c r="C1255" s="74">
        <v>0.18</v>
      </c>
      <c r="D1255" s="73">
        <v>0.82</v>
      </c>
      <c r="E1255" s="73">
        <v>0</v>
      </c>
      <c r="F1255" s="73">
        <v>0</v>
      </c>
      <c r="G1255" s="73">
        <v>0</v>
      </c>
      <c r="H1255" s="87"/>
      <c r="I1255" s="87"/>
      <c r="K1255" s="52"/>
      <c r="L1255" s="52"/>
      <c r="M1255" s="52"/>
      <c r="N1255" s="52"/>
      <c r="O1255" s="52"/>
    </row>
    <row r="1256" spans="3:15" x14ac:dyDescent="0.2">
      <c r="C1256" s="74">
        <v>0.17</v>
      </c>
      <c r="D1256" s="73">
        <v>0.83</v>
      </c>
      <c r="E1256" s="73">
        <v>0</v>
      </c>
      <c r="F1256" s="73">
        <v>0</v>
      </c>
      <c r="G1256" s="73">
        <v>0</v>
      </c>
      <c r="H1256" s="87"/>
      <c r="I1256" s="87"/>
      <c r="K1256" s="52"/>
      <c r="L1256" s="52"/>
      <c r="M1256" s="52"/>
      <c r="N1256" s="52"/>
      <c r="O1256" s="52"/>
    </row>
    <row r="1257" spans="3:15" x14ac:dyDescent="0.2">
      <c r="C1257" s="74">
        <v>0.16</v>
      </c>
      <c r="D1257" s="73">
        <v>0.84</v>
      </c>
      <c r="E1257" s="73">
        <v>0</v>
      </c>
      <c r="F1257" s="73">
        <v>0</v>
      </c>
      <c r="G1257" s="73">
        <v>0</v>
      </c>
      <c r="H1257" s="87"/>
      <c r="I1257" s="87"/>
      <c r="K1257" s="52"/>
      <c r="L1257" s="52"/>
      <c r="M1257" s="52"/>
      <c r="N1257" s="52"/>
      <c r="O1257" s="52"/>
    </row>
    <row r="1258" spans="3:15" x14ac:dyDescent="0.2">
      <c r="C1258" s="74">
        <v>0.15</v>
      </c>
      <c r="D1258" s="73">
        <v>0.85</v>
      </c>
      <c r="E1258" s="73">
        <v>0</v>
      </c>
      <c r="F1258" s="73">
        <v>0</v>
      </c>
      <c r="G1258" s="73">
        <v>0</v>
      </c>
      <c r="H1258" s="87"/>
      <c r="I1258" s="87"/>
      <c r="K1258" s="52"/>
      <c r="L1258" s="52"/>
      <c r="M1258" s="52"/>
      <c r="N1258" s="52"/>
      <c r="O1258" s="52"/>
    </row>
    <row r="1259" spans="3:15" x14ac:dyDescent="0.2">
      <c r="C1259" s="74">
        <v>0.14000000000000001</v>
      </c>
      <c r="D1259" s="73">
        <v>0.86</v>
      </c>
      <c r="E1259" s="73">
        <v>0</v>
      </c>
      <c r="F1259" s="73">
        <v>0</v>
      </c>
      <c r="G1259" s="73">
        <v>0</v>
      </c>
      <c r="H1259" s="87"/>
      <c r="I1259" s="87"/>
      <c r="K1259" s="52"/>
      <c r="L1259" s="52"/>
      <c r="M1259" s="52"/>
      <c r="N1259" s="52"/>
      <c r="O1259" s="52"/>
    </row>
    <row r="1260" spans="3:15" x14ac:dyDescent="0.2">
      <c r="C1260" s="74">
        <v>0.13</v>
      </c>
      <c r="D1260" s="73">
        <v>0.87</v>
      </c>
      <c r="E1260" s="73">
        <v>0</v>
      </c>
      <c r="F1260" s="73">
        <v>0</v>
      </c>
      <c r="G1260" s="73">
        <v>0</v>
      </c>
      <c r="H1260" s="87"/>
      <c r="I1260" s="87"/>
      <c r="K1260" s="52"/>
      <c r="L1260" s="52"/>
      <c r="M1260" s="52"/>
      <c r="N1260" s="52"/>
      <c r="O1260" s="52"/>
    </row>
    <row r="1261" spans="3:15" x14ac:dyDescent="0.2">
      <c r="C1261" s="74">
        <v>0.12</v>
      </c>
      <c r="D1261" s="73">
        <v>0.88</v>
      </c>
      <c r="E1261" s="73">
        <v>0</v>
      </c>
      <c r="F1261" s="73">
        <v>0</v>
      </c>
      <c r="G1261" s="73">
        <v>0</v>
      </c>
      <c r="H1261" s="87"/>
      <c r="I1261" s="87"/>
      <c r="K1261" s="52"/>
      <c r="L1261" s="52"/>
      <c r="M1261" s="52"/>
      <c r="N1261" s="52"/>
      <c r="O1261" s="52"/>
    </row>
    <row r="1262" spans="3:15" x14ac:dyDescent="0.2">
      <c r="C1262" s="74">
        <v>0.11</v>
      </c>
      <c r="D1262" s="73">
        <v>0.89</v>
      </c>
      <c r="E1262" s="73">
        <v>0</v>
      </c>
      <c r="F1262" s="73">
        <v>0</v>
      </c>
      <c r="G1262" s="73">
        <v>0</v>
      </c>
      <c r="H1262" s="87"/>
      <c r="I1262" s="87"/>
      <c r="K1262" s="52"/>
      <c r="L1262" s="52"/>
      <c r="M1262" s="52"/>
      <c r="N1262" s="52"/>
      <c r="O1262" s="52"/>
    </row>
    <row r="1263" spans="3:15" x14ac:dyDescent="0.2">
      <c r="C1263" s="74">
        <v>0.1</v>
      </c>
      <c r="D1263" s="73">
        <v>0.9</v>
      </c>
      <c r="E1263" s="73">
        <v>0</v>
      </c>
      <c r="F1263" s="73">
        <v>0</v>
      </c>
      <c r="G1263" s="73">
        <v>0</v>
      </c>
      <c r="H1263" s="87"/>
      <c r="I1263" s="87"/>
      <c r="K1263" s="52"/>
      <c r="L1263" s="52"/>
      <c r="M1263" s="52"/>
      <c r="N1263" s="52"/>
      <c r="O1263" s="52"/>
    </row>
    <row r="1264" spans="3:15" x14ac:dyDescent="0.2">
      <c r="C1264" s="74">
        <v>0.09</v>
      </c>
      <c r="D1264" s="73">
        <v>0.91</v>
      </c>
      <c r="E1264" s="73">
        <v>0</v>
      </c>
      <c r="F1264" s="73">
        <v>0</v>
      </c>
      <c r="G1264" s="73">
        <v>0</v>
      </c>
      <c r="H1264" s="87"/>
      <c r="I1264" s="87"/>
      <c r="K1264" s="52"/>
      <c r="L1264" s="52"/>
      <c r="M1264" s="52"/>
      <c r="N1264" s="52"/>
      <c r="O1264" s="52"/>
    </row>
    <row r="1265" spans="3:15" x14ac:dyDescent="0.2">
      <c r="C1265" s="74">
        <v>0.08</v>
      </c>
      <c r="D1265" s="73">
        <v>0.92</v>
      </c>
      <c r="E1265" s="73">
        <v>0</v>
      </c>
      <c r="F1265" s="73">
        <v>0</v>
      </c>
      <c r="G1265" s="73">
        <v>0</v>
      </c>
      <c r="H1265" s="87"/>
      <c r="I1265" s="87"/>
      <c r="K1265" s="52"/>
      <c r="L1265" s="52"/>
      <c r="M1265" s="52"/>
      <c r="N1265" s="52"/>
      <c r="O1265" s="52"/>
    </row>
    <row r="1266" spans="3:15" x14ac:dyDescent="0.2">
      <c r="C1266" s="74">
        <v>7.0000000000000007E-2</v>
      </c>
      <c r="D1266" s="73">
        <v>0.93</v>
      </c>
      <c r="E1266" s="73">
        <v>0</v>
      </c>
      <c r="F1266" s="73">
        <v>0</v>
      </c>
      <c r="G1266" s="73">
        <v>0</v>
      </c>
      <c r="H1266" s="87"/>
      <c r="I1266" s="87"/>
      <c r="K1266" s="52"/>
      <c r="L1266" s="52"/>
      <c r="M1266" s="52"/>
      <c r="N1266" s="52"/>
      <c r="O1266" s="52"/>
    </row>
    <row r="1267" spans="3:15" x14ac:dyDescent="0.2">
      <c r="C1267" s="74">
        <v>0.06</v>
      </c>
      <c r="D1267" s="73">
        <v>0.94</v>
      </c>
      <c r="E1267" s="73">
        <v>0</v>
      </c>
      <c r="F1267" s="73">
        <v>0</v>
      </c>
      <c r="G1267" s="73">
        <v>0</v>
      </c>
      <c r="H1267" s="87"/>
      <c r="I1267" s="87"/>
      <c r="K1267" s="52"/>
      <c r="L1267" s="52"/>
      <c r="M1267" s="52"/>
      <c r="N1267" s="52"/>
      <c r="O1267" s="52"/>
    </row>
    <row r="1268" spans="3:15" x14ac:dyDescent="0.2">
      <c r="C1268" s="74">
        <v>0.05</v>
      </c>
      <c r="D1268" s="73">
        <v>0.95</v>
      </c>
      <c r="E1268" s="73">
        <v>0</v>
      </c>
      <c r="F1268" s="73">
        <v>0</v>
      </c>
      <c r="G1268" s="73">
        <v>0</v>
      </c>
      <c r="H1268" s="87"/>
      <c r="I1268" s="87"/>
      <c r="K1268" s="52"/>
      <c r="L1268" s="52"/>
      <c r="M1268" s="52"/>
      <c r="N1268" s="52"/>
      <c r="O1268" s="52"/>
    </row>
    <row r="1269" spans="3:15" x14ac:dyDescent="0.2">
      <c r="C1269" s="74">
        <v>0.04</v>
      </c>
      <c r="D1269" s="73">
        <v>0.96</v>
      </c>
      <c r="E1269" s="73">
        <v>0</v>
      </c>
      <c r="F1269" s="73">
        <v>0</v>
      </c>
      <c r="G1269" s="73">
        <v>0</v>
      </c>
      <c r="H1269" s="87"/>
      <c r="I1269" s="87"/>
      <c r="K1269" s="52"/>
      <c r="L1269" s="52"/>
      <c r="M1269" s="52"/>
      <c r="N1269" s="52"/>
      <c r="O1269" s="52"/>
    </row>
    <row r="1270" spans="3:15" x14ac:dyDescent="0.2">
      <c r="C1270" s="74">
        <v>0.03</v>
      </c>
      <c r="D1270" s="73">
        <v>0.97</v>
      </c>
      <c r="E1270" s="73">
        <v>0</v>
      </c>
      <c r="F1270" s="73">
        <v>0</v>
      </c>
      <c r="G1270" s="73">
        <v>0</v>
      </c>
      <c r="H1270" s="87"/>
      <c r="I1270" s="87"/>
      <c r="K1270" s="52"/>
      <c r="L1270" s="52"/>
      <c r="M1270" s="52"/>
      <c r="N1270" s="52"/>
      <c r="O1270" s="52"/>
    </row>
    <row r="1271" spans="3:15" x14ac:dyDescent="0.2">
      <c r="C1271" s="74">
        <v>0.02</v>
      </c>
      <c r="D1271" s="73">
        <v>0.98</v>
      </c>
      <c r="E1271" s="73">
        <v>0</v>
      </c>
      <c r="F1271" s="73">
        <v>0</v>
      </c>
      <c r="G1271" s="73">
        <v>0</v>
      </c>
      <c r="H1271" s="87"/>
      <c r="I1271" s="87"/>
      <c r="K1271" s="52"/>
      <c r="L1271" s="52"/>
      <c r="M1271" s="52"/>
      <c r="N1271" s="52"/>
      <c r="O1271" s="52"/>
    </row>
    <row r="1272" spans="3:15" x14ac:dyDescent="0.2">
      <c r="C1272" s="74">
        <v>0.01</v>
      </c>
      <c r="D1272" s="73">
        <v>0.99</v>
      </c>
      <c r="E1272" s="73">
        <v>0</v>
      </c>
      <c r="F1272" s="73">
        <v>0</v>
      </c>
      <c r="G1272" s="73">
        <v>0</v>
      </c>
      <c r="H1272" s="87"/>
      <c r="I1272" s="87"/>
      <c r="K1272" s="52"/>
      <c r="L1272" s="52"/>
      <c r="M1272" s="52"/>
      <c r="N1272" s="52"/>
      <c r="O1272" s="52"/>
    </row>
    <row r="1273" spans="3:15" x14ac:dyDescent="0.2">
      <c r="C1273" s="74">
        <v>0</v>
      </c>
      <c r="D1273" s="73">
        <v>1</v>
      </c>
      <c r="E1273" s="73">
        <v>0</v>
      </c>
      <c r="F1273" s="73">
        <v>0</v>
      </c>
      <c r="G1273" s="73">
        <v>0</v>
      </c>
      <c r="H1273" s="87"/>
      <c r="I1273" s="87"/>
      <c r="K1273" s="52"/>
      <c r="L1273" s="52"/>
      <c r="M1273" s="52"/>
      <c r="N1273" s="52"/>
      <c r="O1273" s="52"/>
    </row>
  </sheetData>
  <mergeCells count="7">
    <mergeCell ref="C2:G2"/>
    <mergeCell ref="I2:P2"/>
    <mergeCell ref="K32:L32"/>
    <mergeCell ref="B13:G13"/>
    <mergeCell ref="B21:G21"/>
    <mergeCell ref="C31:E31"/>
    <mergeCell ref="N32:AI32"/>
  </mergeCells>
  <phoneticPr fontId="0" type="noConversion"/>
  <conditionalFormatting sqref="J4">
    <cfRule type="cellIs" dxfId="5" priority="5" stopIfTrue="1" operator="greaterThanOrEqual">
      <formula>$J$7-0.0001</formula>
    </cfRule>
  </conditionalFormatting>
  <conditionalFormatting sqref="O4">
    <cfRule type="cellIs" dxfId="4" priority="6" stopIfTrue="1" operator="lessThanOrEqual">
      <formula>$O$7+0.0001</formula>
    </cfRule>
  </conditionalFormatting>
  <conditionalFormatting sqref="G10">
    <cfRule type="expression" dxfId="3" priority="4">
      <formula>$G$10&lt;&gt;100%</formula>
    </cfRule>
  </conditionalFormatting>
  <conditionalFormatting sqref="C15:G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C5:C9">
      <formula1>$O$33:$AI$33</formula1>
    </dataValidation>
  </dataValidations>
  <pageMargins left="0.75" right="0.75" top="1" bottom="1" header="0.5" footer="0.5"/>
  <pageSetup orientation="portrait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01" r:id="rId4" name="Spinner 53">
              <controlPr defaultSize="0" autoPict="0">
                <anchor moveWithCells="1" sizeWithCells="1">
                  <from>
                    <xdr:col>9</xdr:col>
                    <xdr:colOff>1085850</xdr:colOff>
                    <xdr:row>5</xdr:row>
                    <xdr:rowOff>333375</xdr:rowOff>
                  </from>
                  <to>
                    <xdr:col>10</xdr:col>
                    <xdr:colOff>180975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" name="Spinner 55">
              <controlPr defaultSize="0" autoPict="0">
                <anchor moveWithCells="1" sizeWithCells="1">
                  <from>
                    <xdr:col>14</xdr:col>
                    <xdr:colOff>828675</xdr:colOff>
                    <xdr:row>5</xdr:row>
                    <xdr:rowOff>333375</xdr:rowOff>
                  </from>
                  <to>
                    <xdr:col>15</xdr:col>
                    <xdr:colOff>180975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" name="Button 61">
              <controlPr defaultSize="0" print="0" autoFill="0" autoPict="0" macro="[0]!chart_portfolios">
                <anchor moveWithCells="1" sizeWithCells="1">
                  <from>
                    <xdr:col>1</xdr:col>
                    <xdr:colOff>38100</xdr:colOff>
                    <xdr:row>2</xdr:row>
                    <xdr:rowOff>571500</xdr:rowOff>
                  </from>
                  <to>
                    <xdr:col>1</xdr:col>
                    <xdr:colOff>1333500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40</vt:i4>
      </vt:variant>
    </vt:vector>
  </HeadingPairs>
  <TitlesOfParts>
    <vt:vector size="41" baseType="lpstr">
      <vt:lpstr>Portfolio Selection</vt:lpstr>
      <vt:lpstr>AAPL</vt:lpstr>
      <vt:lpstr>AMZN</vt:lpstr>
      <vt:lpstr>Combinations_Output_Start</vt:lpstr>
      <vt:lpstr>Correl</vt:lpstr>
      <vt:lpstr>Covar</vt:lpstr>
      <vt:lpstr>CSCO</vt:lpstr>
      <vt:lpstr>E_Rj</vt:lpstr>
      <vt:lpstr>FIXED</vt:lpstr>
      <vt:lpstr>GE</vt:lpstr>
      <vt:lpstr>GPS</vt:lpstr>
      <vt:lpstr>GSPC</vt:lpstr>
      <vt:lpstr>IBM</vt:lpstr>
      <vt:lpstr>INTC</vt:lpstr>
      <vt:lpstr>KO</vt:lpstr>
      <vt:lpstr>LUV</vt:lpstr>
      <vt:lpstr>Max_Return_Model</vt:lpstr>
      <vt:lpstr>MCD</vt:lpstr>
      <vt:lpstr>Min_Risk_Model</vt:lpstr>
      <vt:lpstr>MRK</vt:lpstr>
      <vt:lpstr>PG</vt:lpstr>
      <vt:lpstr>Portfolio_Combinations_Table</vt:lpstr>
      <vt:lpstr>Portfolio_Combinations_Table_Start</vt:lpstr>
      <vt:lpstr>Portfolio_Return</vt:lpstr>
      <vt:lpstr>Portfolio_Risk</vt:lpstr>
      <vt:lpstr>RDEN</vt:lpstr>
      <vt:lpstr>RUT</vt:lpstr>
      <vt:lpstr>SBUX</vt:lpstr>
      <vt:lpstr>Security_j</vt:lpstr>
      <vt:lpstr>Security_Table</vt:lpstr>
      <vt:lpstr>Std_Dev_Rj</vt:lpstr>
      <vt:lpstr>Target_Return</vt:lpstr>
      <vt:lpstr>Target_Risk</vt:lpstr>
      <vt:lpstr>Ticker_Table</vt:lpstr>
      <vt:lpstr>Var_Rj</vt:lpstr>
      <vt:lpstr>w_j</vt:lpstr>
      <vt:lpstr>WFC</vt:lpstr>
      <vt:lpstr>WFM</vt:lpstr>
      <vt:lpstr>WMT</vt:lpstr>
      <vt:lpstr>XOM</vt:lpstr>
      <vt:lpstr>Year</vt:lpstr>
    </vt:vector>
  </TitlesOfParts>
  <Company>Cornell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Kathryn Caggiano</dc:creator>
  <cp:lastModifiedBy>kec4</cp:lastModifiedBy>
  <cp:lastPrinted>2008-02-27T19:49:36Z</cp:lastPrinted>
  <dcterms:created xsi:type="dcterms:W3CDTF">2000-04-19T05:35:08Z</dcterms:created>
  <dcterms:modified xsi:type="dcterms:W3CDTF">2013-03-11T20:45:02Z</dcterms:modified>
</cp:coreProperties>
</file>